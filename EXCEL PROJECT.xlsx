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https://d.docs.live.net/b43fd693104342f9/Desktop/projects/excel project/"/>
    </mc:Choice>
  </mc:AlternateContent>
  <xr:revisionPtr revIDLastSave="0" documentId="8_{5132903E-DD4B-4704-BF61-F0405C91954A}" xr6:coauthVersionLast="47" xr6:coauthVersionMax="47" xr10:uidLastSave="{00000000-0000-0000-0000-000000000000}"/>
  <bookViews>
    <workbookView xWindow="-108" yWindow="-108" windowWidth="23256" windowHeight="12456" activeTab="3" xr2:uid="{A19B2EA5-2561-488D-B723-35EF9742DD24}"/>
  </bookViews>
  <sheets>
    <sheet name="SALES DATA " sheetId="1" r:id="rId1"/>
    <sheet name="FORMULA SHEET" sheetId="2" r:id="rId2"/>
    <sheet name="PIVOT TABLES" sheetId="3" r:id="rId3"/>
    <sheet name="DASHBOARD" sheetId="5" r:id="rId4"/>
  </sheets>
  <definedNames>
    <definedName name="data">Table4[]</definedName>
    <definedName name="NativeTimeline_Date">#N/A</definedName>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2" l="1"/>
  <c r="B39" i="2"/>
  <c r="B38" i="2"/>
  <c r="B37" i="2"/>
  <c r="B36" i="2"/>
  <c r="B35" i="2"/>
  <c r="B34" i="2"/>
  <c r="B33" i="2"/>
  <c r="B32" i="2"/>
  <c r="B31" i="2"/>
  <c r="B30" i="2"/>
  <c r="B29" i="2"/>
  <c r="B28" i="2"/>
  <c r="B27" i="2"/>
  <c r="B23" i="2"/>
  <c r="B25" i="2" s="1"/>
  <c r="B21" i="2"/>
  <c r="B20" i="2"/>
  <c r="B19" i="2"/>
  <c r="B18" i="2"/>
  <c r="B17" i="2" a="1"/>
  <c r="B17" i="2" s="1"/>
  <c r="B16" i="2"/>
  <c r="B15" i="2"/>
  <c r="B14" i="2"/>
  <c r="B13" i="2"/>
  <c r="B12" i="2"/>
  <c r="B10" i="2"/>
  <c r="B11" i="2"/>
  <c r="B9" i="2"/>
  <c r="B8" i="2"/>
  <c r="B7" i="2"/>
  <c r="B6" i="2"/>
  <c r="B5" i="2"/>
  <c r="B4" i="2"/>
  <c r="B24" i="2" l="1"/>
  <c r="B2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<sst xmlns="http://schemas.openxmlformats.org/spreadsheetml/2006/main" count="735" uniqueCount="276">
  <si>
    <t>MS EXCEL DATA ANALYTICS — SALES REPORT</t>
  </si>
  <si>
    <t>100 Records | Sales Performance Analysis | 2025</t>
  </si>
  <si>
    <t>Order ID</t>
  </si>
  <si>
    <t>Date</t>
  </si>
  <si>
    <t>Region</t>
  </si>
  <si>
    <t>Salesperson</t>
  </si>
  <si>
    <t>Product</t>
  </si>
  <si>
    <t>Category</t>
  </si>
  <si>
    <t>Quantity</t>
  </si>
  <si>
    <t>Unit Price</t>
  </si>
  <si>
    <t>Discount %</t>
  </si>
  <si>
    <t>Sales</t>
  </si>
  <si>
    <t>Cost</t>
  </si>
  <si>
    <t>Profit</t>
  </si>
  <si>
    <t>ORD-001</t>
  </si>
  <si>
    <t>East</t>
  </si>
  <si>
    <t>Rahul</t>
  </si>
  <si>
    <t>Laptop</t>
  </si>
  <si>
    <t>Electronics</t>
  </si>
  <si>
    <t>ORD-002</t>
  </si>
  <si>
    <t>South</t>
  </si>
  <si>
    <t>Priya</t>
  </si>
  <si>
    <t>ORD-003</t>
  </si>
  <si>
    <t>Tablet</t>
  </si>
  <si>
    <t>ORD-004</t>
  </si>
  <si>
    <t>Arjun</t>
  </si>
  <si>
    <t>ORD-005</t>
  </si>
  <si>
    <t>Simran</t>
  </si>
  <si>
    <t>ORD-006</t>
  </si>
  <si>
    <t>West</t>
  </si>
  <si>
    <t>Printer</t>
  </si>
  <si>
    <t>ORD-007</t>
  </si>
  <si>
    <t>Keyboard</t>
  </si>
  <si>
    <t>Accessories</t>
  </si>
  <si>
    <t>ORD-008</t>
  </si>
  <si>
    <t>Desk</t>
  </si>
  <si>
    <t>Furniture</t>
  </si>
  <si>
    <t>ORD-009</t>
  </si>
  <si>
    <t>North</t>
  </si>
  <si>
    <t>Meera</t>
  </si>
  <si>
    <t>ORD-010</t>
  </si>
  <si>
    <t>ORD-011</t>
  </si>
  <si>
    <t>ORD-012</t>
  </si>
  <si>
    <t>ORD-013</t>
  </si>
  <si>
    <t>Monitor</t>
  </si>
  <si>
    <t>ORD-014</t>
  </si>
  <si>
    <t>Mouse</t>
  </si>
  <si>
    <t>ORD-015</t>
  </si>
  <si>
    <t>ORD-016</t>
  </si>
  <si>
    <t>ORD-017</t>
  </si>
  <si>
    <t>ORD-018</t>
  </si>
  <si>
    <t>Karan</t>
  </si>
  <si>
    <t>ORD-019</t>
  </si>
  <si>
    <t>Office Chair</t>
  </si>
  <si>
    <t>ORD-020</t>
  </si>
  <si>
    <t>Neha</t>
  </si>
  <si>
    <t>ORD-021</t>
  </si>
  <si>
    <t>ORD-022</t>
  </si>
  <si>
    <t>ORD-023</t>
  </si>
  <si>
    <t>Headset</t>
  </si>
  <si>
    <t>ORD-024</t>
  </si>
  <si>
    <t>ORD-025</t>
  </si>
  <si>
    <t>ORD-026</t>
  </si>
  <si>
    <t>Webcam</t>
  </si>
  <si>
    <t>ORD-027</t>
  </si>
  <si>
    <t>ORD-028</t>
  </si>
  <si>
    <t>ORD-029</t>
  </si>
  <si>
    <t>Aarav</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</si>
  <si>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</si>
  <si>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</si>
  <si>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</si>
  <si>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</si>
  <si>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</si>
  <si>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</si>
  <si>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</si>
  <si>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</si>
  <si>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</si>
  <si>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</si>
  <si>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</si>
  <si>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</si>
  <si>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</si>
  <si>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</si>
  <si>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</si>
  <si>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</si>
  <si>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</si>
  <si>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</si>
  <si>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</si>
  <si>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</si>
  <si>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</si>
  <si>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</si>
  <si>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</si>
  <si>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</si>
  <si>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</si>
  <si>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</si>
  <si>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</si>
  <si>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</si>
  <si>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</si>
  <si>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</si>
  <si>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</si>
  <si>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</si>
  <si>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</si>
  <si>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</si>
  <si>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</si>
  <si>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</si>
  <si>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</si>
  <si>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</si>
  <si>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</si>
  <si>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</si>
  <si>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</si>
  <si>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</si>
  <si>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</si>
  <si>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</si>
  <si>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</si>
  <si>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</si>
  <si>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</si>
  <si>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</si>
  <si>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</si>
  <si>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</si>
  <si>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</si>
  <si>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</si>
  <si>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</si>
  <si>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</si>
  <si>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</si>
  <si>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</si>
  <si>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</si>
  <si>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</si>
  <si>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</si>
  <si>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</si>
  <si>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</si>
  <si>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</si>
  <si>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</si>
  <si>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</si>
  <si>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</si>
  <si>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</si>
  <si>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</si>
  <si>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</si>
  <si>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</si>
  <si>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</si>
  <si>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</si>
  <si>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EXCEL FORMULA PRACTICE</t>
  </si>
  <si>
    <t>Function</t>
  </si>
  <si>
    <t>Example Formula</t>
  </si>
  <si>
    <t>Purpose</t>
  </si>
  <si>
    <t>Note</t>
  </si>
  <si>
    <t>SUM</t>
  </si>
  <si>
    <t>Total Sales</t>
  </si>
  <si>
    <t>Adds sales</t>
  </si>
  <si>
    <t>AVERAGE</t>
  </si>
  <si>
    <t>Average Sales</t>
  </si>
  <si>
    <t>Average order</t>
  </si>
  <si>
    <t>MAX</t>
  </si>
  <si>
    <t>Maximum Profit</t>
  </si>
  <si>
    <t>Highest profit</t>
  </si>
  <si>
    <t>MIN</t>
  </si>
  <si>
    <t>Minimum Profit</t>
  </si>
  <si>
    <t>Lowest profit</t>
  </si>
  <si>
    <t>COUNT</t>
  </si>
  <si>
    <t>Count Quantity</t>
  </si>
  <si>
    <t>Counts numbers</t>
  </si>
  <si>
    <t>COUNTA</t>
  </si>
  <si>
    <t>Count Orders</t>
  </si>
  <si>
    <t>Counts non-empty</t>
  </si>
  <si>
    <t>COUNTIF</t>
  </si>
  <si>
    <t>North Orders</t>
  </si>
  <si>
    <t>One condition</t>
  </si>
  <si>
    <t>COUNTIFS</t>
  </si>
  <si>
    <t>North Electronics</t>
  </si>
  <si>
    <t>Multiple conditions</t>
  </si>
  <si>
    <t>SUMIF</t>
  </si>
  <si>
    <t>North Sales</t>
  </si>
  <si>
    <t>SUMIFS</t>
  </si>
  <si>
    <t>North Electronics Sales</t>
  </si>
  <si>
    <t>AVERAGEIF</t>
  </si>
  <si>
    <t>Average North Sales</t>
  </si>
  <si>
    <t>AVERAGEIFS</t>
  </si>
  <si>
    <t>Average North Electronics</t>
  </si>
  <si>
    <t>IF</t>
  </si>
  <si>
    <t>Profit/Loss</t>
  </si>
  <si>
    <t>Logical test</t>
  </si>
  <si>
    <t>IFS</t>
  </si>
  <si>
    <t>Profit Band</t>
  </si>
  <si>
    <t>Multiple tests</t>
  </si>
  <si>
    <t>IFERROR</t>
  </si>
  <si>
    <t>Safe Calculation</t>
  </si>
  <si>
    <t>Handles errors</t>
  </si>
  <si>
    <t>AND</t>
  </si>
  <si>
    <t>Two Conditions</t>
  </si>
  <si>
    <t>Both true</t>
  </si>
  <si>
    <t>OR</t>
  </si>
  <si>
    <t>Alternative Conditions</t>
  </si>
  <si>
    <t>Either true</t>
  </si>
  <si>
    <t>NOT</t>
  </si>
  <si>
    <t>Reverse Condition</t>
  </si>
  <si>
    <t>Not North</t>
  </si>
  <si>
    <t>ROUND</t>
  </si>
  <si>
    <t>Rounded Sales</t>
  </si>
  <si>
    <t>Rounds value</t>
  </si>
  <si>
    <t>TODAY</t>
  </si>
  <si>
    <t>Current Date</t>
  </si>
  <si>
    <t>Today's date</t>
  </si>
  <si>
    <t>YEAR</t>
  </si>
  <si>
    <t>Year</t>
  </si>
  <si>
    <t>Extract year</t>
  </si>
  <si>
    <t>MONTH</t>
  </si>
  <si>
    <t>Month</t>
  </si>
  <si>
    <t>Extract month</t>
  </si>
  <si>
    <t>TEXT</t>
  </si>
  <si>
    <t>Month Label</t>
  </si>
  <si>
    <t>Formats date</t>
  </si>
  <si>
    <t>LEFT</t>
  </si>
  <si>
    <t>Left Characters</t>
  </si>
  <si>
    <t>First 3 chars</t>
  </si>
  <si>
    <t>RIGHT</t>
  </si>
  <si>
    <t>Right Characters</t>
  </si>
  <si>
    <t>Last 3 chars</t>
  </si>
  <si>
    <t>MID</t>
  </si>
  <si>
    <t>Middle Characters</t>
  </si>
  <si>
    <t>Extracts middle</t>
  </si>
  <si>
    <t>LEN</t>
  </si>
  <si>
    <t>Text Length</t>
  </si>
  <si>
    <t>Counts chars</t>
  </si>
  <si>
    <t>TRIM</t>
  </si>
  <si>
    <t>Clean Spaces</t>
  </si>
  <si>
    <t>Removes extra spaces</t>
  </si>
  <si>
    <t>UPPER</t>
  </si>
  <si>
    <t>Uppercase</t>
  </si>
  <si>
    <t>Converts case</t>
  </si>
  <si>
    <t>LOWER</t>
  </si>
  <si>
    <t>Lowercase</t>
  </si>
  <si>
    <t>PROPER</t>
  </si>
  <si>
    <t>Proper Case</t>
  </si>
  <si>
    <t>Capitalizes words</t>
  </si>
  <si>
    <t>CONCAT</t>
  </si>
  <si>
    <t>Join Text</t>
  </si>
  <si>
    <t>Combines text</t>
  </si>
  <si>
    <t>TEXTJOIN</t>
  </si>
  <si>
    <t>Join Multiple Text</t>
  </si>
  <si>
    <t>Uses separator</t>
  </si>
  <si>
    <t>VLOOKUP</t>
  </si>
  <si>
    <t>Lookup Profit</t>
  </si>
  <si>
    <t>Vertical lookup</t>
  </si>
  <si>
    <t>XLOOKUP</t>
  </si>
  <si>
    <t>Find Profit</t>
  </si>
  <si>
    <t>Modern lookup</t>
  </si>
  <si>
    <t>INDEX + MATCH</t>
  </si>
  <si>
    <t>Flexible lookup</t>
  </si>
  <si>
    <t xml:space="preserve">North </t>
  </si>
  <si>
    <t xml:space="preserve"> </t>
  </si>
  <si>
    <t>Row Labels</t>
  </si>
  <si>
    <t>Grand Total</t>
  </si>
  <si>
    <t>Sum of Sales</t>
  </si>
  <si>
    <t>Sum of Profit</t>
  </si>
  <si>
    <t>REGION-WISE SALES</t>
  </si>
  <si>
    <t>CATEGORY-WISE PROFIT</t>
  </si>
  <si>
    <t>MONTHLY SALES</t>
  </si>
  <si>
    <t>SALESPERSON WISE SALES</t>
  </si>
  <si>
    <t>PIVOT TABLES</t>
  </si>
  <si>
    <t>Sum of Cost</t>
  </si>
  <si>
    <t>DASHBOARD</t>
  </si>
  <si>
    <t>PRODUCT COST AND PROFIT</t>
  </si>
  <si>
    <t>Sum of Quantity</t>
  </si>
  <si>
    <t>Jul</t>
  </si>
  <si>
    <t>Sep</t>
  </si>
  <si>
    <t>Aug</t>
  </si>
  <si>
    <t>Sum of Unit Price</t>
  </si>
  <si>
    <t>Jan</t>
  </si>
  <si>
    <t>Feb</t>
  </si>
  <si>
    <t>Mar</t>
  </si>
  <si>
    <t>Apr</t>
  </si>
  <si>
    <t>May</t>
  </si>
  <si>
    <t>Jun</t>
  </si>
  <si>
    <t>Oct</t>
  </si>
  <si>
    <t>Nov</t>
  </si>
  <si>
    <t>Dec</t>
  </si>
  <si>
    <t>PRODUCTS COST AND PROFIT</t>
  </si>
  <si>
    <t>SALESPERSONS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</si>
</sst>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2" x14ac:knownFonts="1">
    <font>
      <sz val="11"/>
      <color theme="1"/>
      <name val="Calibri"/>
      <family val="2"/>
      <scheme val="minor"/>
    </font>
    <font>
      <b/>
      <sz val="20"/>
      <color rgb="FFFFFFFF"/>
      <name val="Calibri"/>
      <family val="2"/>
      <scheme val="minor"/>
    </font>
    <font>
      <sz val="11"/>
      <color rgb="FF000000"/>
      <name val="Calibri"/>
      <family val="2"/>
      <scheme val="minor"/>
    </font>
    <font>
      <b/>
      <sz val="11"/>
      <color rgb="FFFFFFFF"/>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14"/>
      <color theme="1"/>
      <name val="Calibri"/>
      <family val="2"/>
      <scheme val="minor"/>
    </font>
    <font>
      <b/>
      <sz val="28"/>
      <color rgb="FFFFFFFF"/>
      <name val="Calibri"/>
      <family val="2"/>
      <scheme val="minor"/>
    </font>
    <font>
      <b/>
      <sz val="28"/>
      <color theme="0"/>
      <name val="Calibri"/>
      <family val="2"/>
      <scheme val="minor"/>
    </font>
    <font>
      <b/>
      <sz val="11"/>
      <color rgb="FF000000"/>
      <name val="Calibri"/>
      <family val="2"/>
      <scheme val="minor"/>
    </font>
    <font>
      <b/>
      <sz val="11"/>
      <color theme="0"/>
      <name val="Calibri"/>
      <family val="2"/>
      <scheme val="minor"/>
    </font>
  </fonts>
  <fills count="6">
    <fill>
      <patternFill patternType="none"/>
    </fill>
    <fill>
      <patternFill patternType="gray125"/>
    </fill>
    <fill>
      <patternFill patternType="solid">
        <fgColor rgb="FF17365D"/>
        <bgColor rgb="FF000000"/>
      </patternFill>
    </fill>
    <fill>
      <patternFill patternType="solid">
        <fgColor rgb="FF2F75B5"/>
        <bgColor rgb="FF000000"/>
      </patternFill>
    </fill>
    <fill>
      <patternFill patternType="solid">
        <fgColor theme="4" tint="-0.249977111117893"/>
        <bgColor indexed="64"/>
      </patternFill>
    </fill>
    <fill>
      <patternFill patternType="solid">
        <fgColor theme="4"/>
        <bgColor indexed="64"/>
      </patternFill>
    </fill>
  </fills>
  <borders count="10">
    <border>
      <left/>
      <right/>
      <top/>
      <bottom/>
      <diagonal/>
    </border>
    <border>
      <left/>
      <right/>
      <top/>
      <bottom style="medium">
        <color rgb="FFB7B7B7"/>
      </bottom>
      <diagonal/>
    </border>
    <border>
      <left style="medium">
        <color indexed="64"/>
      </left>
      <right/>
      <top style="medium">
        <color indexed="64"/>
      </top>
      <bottom style="medium">
        <color rgb="FFB7B7B7"/>
      </bottom>
      <diagonal/>
    </border>
    <border>
      <left/>
      <right/>
      <top style="medium">
        <color indexed="64"/>
      </top>
      <bottom style="medium">
        <color rgb="FFB7B7B7"/>
      </bottom>
      <diagonal/>
    </border>
    <border>
      <left/>
      <right style="medium">
        <color indexed="64"/>
      </right>
      <top style="medium">
        <color indexed="64"/>
      </top>
      <bottom style="medium">
        <color rgb="FFB7B7B7"/>
      </bottom>
      <diagonal/>
    </border>
    <border>
      <left style="medium">
        <color indexed="64"/>
      </left>
      <right/>
      <top/>
      <bottom style="medium">
        <color rgb="FFB7B7B7"/>
      </bottom>
      <diagonal/>
    </border>
    <border>
      <left/>
      <right style="medium">
        <color indexed="64"/>
      </right>
      <top/>
      <bottom style="medium">
        <color rgb="FFB7B7B7"/>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7">
    <xf numFmtId="0" fontId="0" fillId="0" borderId="0" xfId="0"/>
    <xf numFmtId="0" fontId="2" fillId="0" borderId="0" xfId="0" applyFont="1"/>
    <xf numFmtId="0" fontId="3" fillId="3" borderId="0" xfId="0" applyFont="1" applyFill="1" applyAlignment="1">
      <alignment horizontal="center"/>
    </xf>
    <xf numFmtId="0" fontId="2" fillId="0" borderId="1" xfId="0" applyFont="1" applyBorder="1"/>
    <xf numFmtId="9" fontId="2" fillId="0" borderId="1" xfId="0" applyNumberFormat="1" applyFont="1" applyBorder="1"/>
    <xf numFmtId="2" fontId="2" fillId="0" borderId="0" xfId="0" applyNumberFormat="1" applyFont="1"/>
    <xf numFmtId="2" fontId="3" fillId="3" borderId="0" xfId="0" applyNumberFormat="1" applyFont="1" applyFill="1" applyAlignment="1">
      <alignment horizontal="center"/>
    </xf>
    <xf numFmtId="2" fontId="2" fillId="0" borderId="1" xfId="0" applyNumberFormat="1" applyFont="1" applyBorder="1"/>
    <xf numFmtId="2" fontId="0" fillId="0" borderId="0" xfId="0" applyNumberFormat="1"/>
    <xf numFmtId="9" fontId="2" fillId="0" borderId="0" xfId="0" applyNumberFormat="1" applyFont="1"/>
    <xf numFmtId="164" fontId="3" fillId="3" borderId="0" xfId="0" applyNumberFormat="1" applyFont="1" applyFill="1" applyAlignment="1">
      <alignment horizontal="center"/>
    </xf>
    <xf numFmtId="164" fontId="2" fillId="0" borderId="1" xfId="0" applyNumberFormat="1" applyFont="1" applyBorder="1"/>
    <xf numFmtId="164" fontId="2" fillId="0" borderId="0" xfId="0" applyNumberFormat="1" applyFont="1"/>
    <xf numFmtId="0" fontId="2" fillId="0" borderId="1" xfId="0" applyFont="1" applyBorder="1" applyAlignment="1">
      <alignment horizontal="left" vertical="center" wrapText="1"/>
    </xf>
    <xf numFmtId="2" fontId="2" fillId="0" borderId="1" xfId="0" applyNumberFormat="1" applyFont="1" applyBorder="1" applyAlignment="1">
      <alignment horizontal="left" vertical="center" wrapText="1"/>
    </xf>
    <xf numFmtId="14" fontId="2" fillId="0" borderId="1" xfId="0" applyNumberFormat="1" applyFont="1" applyBorder="1" applyAlignment="1">
      <alignment horizontal="left"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2" fillId="0" borderId="6" xfId="0" applyFont="1" applyBorder="1" applyAlignment="1">
      <alignment horizontal="left" vertical="center" wrapText="1"/>
    </xf>
    <xf numFmtId="0" fontId="0" fillId="0" borderId="7" xfId="0" applyBorder="1"/>
    <xf numFmtId="0" fontId="0" fillId="0" borderId="8" xfId="0" applyBorder="1"/>
    <xf numFmtId="0" fontId="2" fillId="0" borderId="9" xfId="0" applyFont="1" applyBorder="1"/>
    <xf numFmtId="0" fontId="0" fillId="0" borderId="0" xfId="0" pivotButton="1"/>
    <xf numFmtId="0" fontId="0" fillId="0" borderId="0" xfId="0" applyAlignment="1">
      <alignment horizontal="left"/>
    </xf>
    <xf numFmtId="0" fontId="0" fillId="0" borderId="0" xfId="0" pivotButton="1" applyAlignment="1">
      <alignment vertical="center"/>
    </xf>
    <xf numFmtId="0" fontId="0" fillId="0" borderId="0" xfId="0" applyAlignment="1">
      <alignment vertical="center"/>
    </xf>
    <xf numFmtId="0" fontId="0" fillId="0" borderId="0" xfId="0" applyAlignment="1">
      <alignment horizontal="left" vertical="center"/>
    </xf>
    <xf numFmtId="2" fontId="0" fillId="0" borderId="0" xfId="0" applyNumberFormat="1" applyAlignment="1">
      <alignment vertical="center"/>
    </xf>
    <xf numFmtId="0" fontId="10" fillId="0" borderId="5" xfId="0" applyFont="1" applyBorder="1" applyAlignment="1">
      <alignment horizontal="left" vertical="center" wrapText="1"/>
    </xf>
    <xf numFmtId="0" fontId="4" fillId="0" borderId="0" xfId="0" pivotButton="1" applyFont="1"/>
    <xf numFmtId="0" fontId="4" fillId="0" borderId="0" xfId="0" applyFont="1"/>
    <xf numFmtId="0" fontId="4" fillId="0" borderId="0" xfId="0" applyFont="1" applyAlignment="1">
      <alignment horizontal="left"/>
    </xf>
    <xf numFmtId="2" fontId="4" fillId="0" borderId="0" xfId="0" applyNumberFormat="1" applyFont="1"/>
    <xf numFmtId="0" fontId="6" fillId="0" borderId="0" xfId="0" applyFont="1" applyAlignment="1">
      <alignment vertical="center"/>
    </xf>
    <xf numFmtId="0" fontId="9" fillId="0" borderId="0" xfId="0" applyFont="1" applyAlignment="1">
      <alignment vertical="center"/>
    </xf>
    <xf numFmtId="0" fontId="9" fillId="4" borderId="0" xfId="0" applyFont="1" applyFill="1" applyAlignment="1">
      <alignment horizontal="center" vertical="center"/>
    </xf>
    <xf numFmtId="0" fontId="11" fillId="5" borderId="0" xfId="0" applyFont="1" applyFill="1" applyAlignment="1">
      <alignment horizontal="center"/>
    </xf>
    <xf numFmtId="0" fontId="5" fillId="5" borderId="0" xfId="0" applyFont="1" applyFill="1" applyAlignment="1">
      <alignment horizontal="center"/>
    </xf>
    <xf numFmtId="0" fontId="1" fillId="2" borderId="0" xfId="0" applyFont="1" applyFill="1" applyAlignment="1">
      <alignment horizontal="center"/>
    </xf>
    <xf numFmtId="0" fontId="10" fillId="0" borderId="0" xfId="0" applyFont="1" applyAlignment="1">
      <alignment horizontal="center"/>
    </xf>
    <xf numFmtId="0" fontId="8" fillId="2" borderId="0" xfId="0" applyFont="1" applyFill="1" applyAlignment="1">
      <alignment horizontal="center" vertical="center"/>
    </xf>
    <xf numFmtId="0" fontId="9" fillId="4" borderId="0" xfId="0" applyFont="1" applyFill="1" applyAlignment="1">
      <alignment horizontal="center"/>
    </xf>
    <xf numFmtId="0" fontId="6" fillId="4" borderId="0" xfId="0" applyFont="1" applyFill="1" applyAlignment="1">
      <alignment horizontal="center" vertical="center"/>
    </xf>
    <xf numFmtId="0" fontId="6" fillId="4" borderId="0" xfId="0" applyFont="1" applyFill="1" applyAlignment="1">
      <alignment horizontal="center"/>
    </xf>
    <xf numFmtId="0" fontId="5" fillId="4" borderId="0" xfId="0" applyFont="1" applyFill="1" applyAlignment="1">
      <alignment horizontal="center"/>
    </xf>
    <xf numFmtId="0" fontId="7" fillId="4" borderId="0" xfId="0" applyFont="1" applyFill="1" applyAlignment="1">
      <alignment horizontal="center"/>
    </xf>
  </cellXfs>
  <cellStyles count="1">
    <cellStyle name="Normal" xfId="0" builtinId="0"/>
  </cellStyles>
  <dxfs count="43">
    <dxf>
      <font>
        <b/>
      </font>
    </dxf>
    <dxf>
      <font>
        <b/>
      </font>
    </dxf>
    <dxf>
      <font>
        <b/>
      </font>
    </dxf>
    <dxf>
      <font>
        <b/>
      </font>
    </dxf>
    <dxf>
      <font>
        <b/>
      </font>
    </dxf>
    <dxf>
      <font>
        <b/>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val="0"/>
        <i val="0"/>
        <strike val="0"/>
        <condense val="0"/>
        <extend val="0"/>
        <outline val="0"/>
        <shadow val="0"/>
        <u val="none"/>
        <vertAlign val="baseline"/>
        <sz val="11"/>
        <color rgb="FF000000"/>
        <name val="Calibri"/>
        <family val="2"/>
        <scheme val="minor"/>
      </font>
      <numFmt numFmtId="2" formatCode="0.00"/>
      <border diagonalUp="0" diagonalDown="0">
        <left/>
        <right/>
        <top/>
        <bottom style="medium">
          <color rgb="FFB7B7B7"/>
        </bottom>
        <vertical/>
        <horizontal/>
      </border>
    </dxf>
    <dxf>
      <font>
        <b val="0"/>
        <i val="0"/>
        <strike val="0"/>
        <condense val="0"/>
        <extend val="0"/>
        <outline val="0"/>
        <shadow val="0"/>
        <u val="none"/>
        <vertAlign val="baseline"/>
        <sz val="11"/>
        <color rgb="FF000000"/>
        <name val="Calibri"/>
        <family val="2"/>
        <scheme val="minor"/>
      </font>
      <numFmt numFmtId="2" formatCode="0.00"/>
      <border diagonalUp="0" diagonalDown="0">
        <left/>
        <right/>
        <top/>
        <bottom style="medium">
          <color rgb="FFB7B7B7"/>
        </bottom>
        <vertical/>
        <horizontal/>
      </border>
    </dxf>
    <dxf>
      <font>
        <b val="0"/>
        <i val="0"/>
        <strike val="0"/>
        <condense val="0"/>
        <extend val="0"/>
        <outline val="0"/>
        <shadow val="0"/>
        <u val="none"/>
        <vertAlign val="baseline"/>
        <sz val="11"/>
        <color rgb="FF000000"/>
        <name val="Calibri"/>
        <family val="2"/>
        <scheme val="minor"/>
      </font>
      <numFmt numFmtId="2" formatCode="0.00"/>
      <border diagonalUp="0" diagonalDown="0">
        <left/>
        <right/>
        <top/>
        <bottom style="medium">
          <color rgb="FFB7B7B7"/>
        </bottom>
        <vertical/>
        <horizontal/>
      </border>
    </dxf>
    <dxf>
      <font>
        <b val="0"/>
        <i val="0"/>
        <strike val="0"/>
        <condense val="0"/>
        <extend val="0"/>
        <outline val="0"/>
        <shadow val="0"/>
        <u val="none"/>
        <vertAlign val="baseline"/>
        <sz val="11"/>
        <color rgb="FF000000"/>
        <name val="Calibri"/>
        <family val="2"/>
        <scheme val="minor"/>
      </font>
      <numFmt numFmtId="13" formatCode="0%"/>
      <border diagonalUp="0" diagonalDown="0">
        <left/>
        <right/>
        <top/>
        <bottom style="medium">
          <color rgb="FFB7B7B7"/>
        </bottom>
        <vertical/>
        <horizontal/>
      </border>
    </dxf>
    <dxf>
      <font>
        <b val="0"/>
        <i val="0"/>
        <strike val="0"/>
        <condense val="0"/>
        <extend val="0"/>
        <outline val="0"/>
        <shadow val="0"/>
        <u val="none"/>
        <vertAlign val="baseline"/>
        <sz val="11"/>
        <color rgb="FF000000"/>
        <name val="Calibri"/>
        <family val="2"/>
        <scheme val="minor"/>
      </font>
      <numFmt numFmtId="2" formatCode="0.00"/>
      <border diagonalUp="0" diagonalDown="0">
        <left/>
        <right/>
        <top/>
        <bottom style="medium">
          <color rgb="FFB7B7B7"/>
        </bottom>
        <vertical/>
        <horizontal/>
      </border>
    </dxf>
    <dxf>
      <font>
        <b val="0"/>
        <i val="0"/>
        <strike val="0"/>
        <condense val="0"/>
        <extend val="0"/>
        <outline val="0"/>
        <shadow val="0"/>
        <u val="none"/>
        <vertAlign val="baseline"/>
        <sz val="11"/>
        <color rgb="FF000000"/>
        <name val="Calibri"/>
        <family val="2"/>
        <scheme val="minor"/>
      </font>
      <border diagonalUp="0" diagonalDown="0">
        <left/>
        <right/>
        <top/>
        <bottom style="medium">
          <color rgb="FFB7B7B7"/>
        </bottom>
        <vertical/>
        <horizontal/>
      </border>
    </dxf>
    <dxf>
      <font>
        <b val="0"/>
        <i val="0"/>
        <strike val="0"/>
        <condense val="0"/>
        <extend val="0"/>
        <outline val="0"/>
        <shadow val="0"/>
        <u val="none"/>
        <vertAlign val="baseline"/>
        <sz val="11"/>
        <color rgb="FF000000"/>
        <name val="Calibri"/>
        <family val="2"/>
        <scheme val="minor"/>
      </font>
      <border diagonalUp="0" diagonalDown="0">
        <left/>
        <right/>
        <top/>
        <bottom style="medium">
          <color rgb="FFB7B7B7"/>
        </bottom>
        <vertical/>
        <horizontal/>
      </border>
    </dxf>
    <dxf>
      <font>
        <b val="0"/>
        <i val="0"/>
        <strike val="0"/>
        <condense val="0"/>
        <extend val="0"/>
        <outline val="0"/>
        <shadow val="0"/>
        <u val="none"/>
        <vertAlign val="baseline"/>
        <sz val="11"/>
        <color rgb="FF000000"/>
        <name val="Calibri"/>
        <family val="2"/>
        <scheme val="minor"/>
      </font>
      <border diagonalUp="0" diagonalDown="0">
        <left/>
        <right/>
        <top/>
        <bottom style="medium">
          <color rgb="FFB7B7B7"/>
        </bottom>
        <vertical/>
        <horizontal/>
      </border>
    </dxf>
    <dxf>
      <font>
        <b val="0"/>
        <i val="0"/>
        <strike val="0"/>
        <condense val="0"/>
        <extend val="0"/>
        <outline val="0"/>
        <shadow val="0"/>
        <u val="none"/>
        <vertAlign val="baseline"/>
        <sz val="11"/>
        <color rgb="FF000000"/>
        <name val="Calibri"/>
        <family val="2"/>
        <scheme val="minor"/>
      </font>
      <border diagonalUp="0" diagonalDown="0">
        <left/>
        <right/>
        <top/>
        <bottom style="medium">
          <color rgb="FFB7B7B7"/>
        </bottom>
        <vertical/>
        <horizontal/>
      </border>
    </dxf>
    <dxf>
      <font>
        <b val="0"/>
        <i val="0"/>
        <strike val="0"/>
        <condense val="0"/>
        <extend val="0"/>
        <outline val="0"/>
        <shadow val="0"/>
        <u val="none"/>
        <vertAlign val="baseline"/>
        <sz val="11"/>
        <color rgb="FF000000"/>
        <name val="Calibri"/>
        <family val="2"/>
        <scheme val="minor"/>
      </font>
      <border diagonalUp="0" diagonalDown="0">
        <left/>
        <right/>
        <top/>
        <bottom style="medium">
          <color rgb="FFB7B7B7"/>
        </bottom>
        <vertical/>
        <horizontal/>
      </border>
    </dxf>
    <dxf>
      <font>
        <b val="0"/>
        <i val="0"/>
        <strike val="0"/>
        <condense val="0"/>
        <extend val="0"/>
        <outline val="0"/>
        <shadow val="0"/>
        <u val="none"/>
        <vertAlign val="baseline"/>
        <sz val="11"/>
        <color rgb="FF000000"/>
        <name val="Calibri"/>
        <family val="2"/>
        <scheme val="minor"/>
      </font>
      <numFmt numFmtId="164" formatCode="dd/mmm/yyyy"/>
      <border diagonalUp="0" diagonalDown="0">
        <left/>
        <right/>
        <top/>
        <bottom style="medium">
          <color rgb="FFB7B7B7"/>
        </bottom>
        <vertical/>
        <horizontal/>
      </border>
    </dxf>
    <dxf>
      <font>
        <b val="0"/>
        <i val="0"/>
        <strike val="0"/>
        <condense val="0"/>
        <extend val="0"/>
        <outline val="0"/>
        <shadow val="0"/>
        <u val="none"/>
        <vertAlign val="baseline"/>
        <sz val="11"/>
        <color rgb="FF000000"/>
        <name val="Calibri"/>
        <family val="2"/>
        <scheme val="minor"/>
      </font>
      <border diagonalUp="0" diagonalDown="0">
        <left/>
        <right/>
        <top/>
        <bottom style="medium">
          <color rgb="FFB7B7B7"/>
        </bottom>
        <vertical/>
        <horizontal/>
      </border>
    </dxf>
    <dxf>
      <border outline="0">
        <bottom style="medium">
          <color rgb="FFB7B7B7"/>
        </bottom>
      </border>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FFFFFF"/>
        <name val="Calibri"/>
        <family val="2"/>
        <scheme val="minor"/>
      </font>
      <numFmt numFmtId="2" formatCode="0.00"/>
      <fill>
        <patternFill patternType="solid">
          <fgColor rgb="FF000000"/>
          <bgColor rgb="FF2F75B5"/>
        </patternFill>
      </fill>
      <alignment horizontal="center" vertical="bottom" textRotation="0" wrapText="0" indent="0" justifyLastLine="0" shrinkToFit="0" readingOrder="0"/>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microsoft.com/office/2011/relationships/timelineCache" Target="timelineCaches/timelineCache1.xml"/><Relationship Id="rId1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PRODUCTS COST AND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TABLES'!$M$6:$M$14</c:f>
              <c:strCache>
                <c:ptCount val="8"/>
                <c:pt idx="0">
                  <c:v>Aarav</c:v>
                </c:pt>
                <c:pt idx="1">
                  <c:v>Arjun</c:v>
                </c:pt>
                <c:pt idx="2">
                  <c:v>Karan</c:v>
                </c:pt>
                <c:pt idx="3">
                  <c:v>Meera</c:v>
                </c:pt>
                <c:pt idx="4">
                  <c:v>Neha</c:v>
                </c:pt>
                <c:pt idx="5">
                  <c:v>Priya</c:v>
                </c:pt>
                <c:pt idx="6">
                  <c:v>Rahul</c:v>
                </c:pt>
                <c:pt idx="7">
                  <c:v>Simran</c:v>
                </c:pt>
              </c:strCache>
            </c:strRef>
          </c:cat>
          <c:val>
            <c:numRef>
              <c:f>'PIVOT TABLES'!$N$6:$N$14</c:f>
              <c:numCache>
                <c:formatCode>0.00</c:formatCode>
                <c:ptCount val="8"/>
                <c:pt idx="0">
                  <c:v>10576.33</c:v>
                </c:pt>
                <c:pt idx="1">
                  <c:v>26816.55</c:v>
                </c:pt>
                <c:pt idx="2">
                  <c:v>21094.649999999998</c:v>
                </c:pt>
                <c:pt idx="3">
                  <c:v>21765.91</c:v>
                </c:pt>
                <c:pt idx="4">
                  <c:v>4288.91</c:v>
                </c:pt>
                <c:pt idx="5">
                  <c:v>35899.42</c:v>
                </c:pt>
                <c:pt idx="6">
                  <c:v>20839.649999999998</c:v>
                </c:pt>
                <c:pt idx="7">
                  <c:v>17435.199999999997</c:v>
                </c:pt>
              </c:numCache>
            </c:numRef>
          </c:val>
          <c:extLst>
            <c:ext xmlns:c16="http://schemas.microsoft.com/office/drawing/2014/chart" uri="{C3380CC4-5D6E-409C-BE32-E72D297353CC}">
              <c16:uniqueId val="{00000003-265D-4E47-BDAC-81118FE51471}"/>
            </c:ext>
          </c:extLst>
        </c:ser>
        <c:dLbls>
          <c:showLegendKey val="0"/>
          <c:showVal val="0"/>
          <c:showCatName val="0"/>
          <c:showSerName val="0"/>
          <c:showPercent val="0"/>
          <c:showBubbleSize val="0"/>
        </c:dLbls>
        <c:gapWidth val="219"/>
        <c:axId val="694659552"/>
        <c:axId val="2066924704"/>
      </c:barChart>
      <c:catAx>
        <c:axId val="6946595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066924704"/>
        <c:crosses val="autoZero"/>
        <c:auto val="1"/>
        <c:lblAlgn val="ctr"/>
        <c:lblOffset val="100"/>
        <c:noMultiLvlLbl val="0"/>
      </c:catAx>
      <c:valAx>
        <c:axId val="20669247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COST AND 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694659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TABLES'!$J$6:$J$18</c:f>
              <c:numCache>
                <c:formatCode>0.00</c:formatCode>
                <c:ptCount val="12"/>
                <c:pt idx="0">
                  <c:v>15800.150000000001</c:v>
                </c:pt>
                <c:pt idx="1">
                  <c:v>8942.9600000000009</c:v>
                </c:pt>
                <c:pt idx="2">
                  <c:v>7562.9699999999984</c:v>
                </c:pt>
                <c:pt idx="3">
                  <c:v>16577.04</c:v>
                </c:pt>
                <c:pt idx="4">
                  <c:v>17896.259999999998</c:v>
                </c:pt>
                <c:pt idx="5">
                  <c:v>11173.070000000002</c:v>
                </c:pt>
                <c:pt idx="6">
                  <c:v>31072.09</c:v>
                </c:pt>
                <c:pt idx="7">
                  <c:v>11546.49</c:v>
                </c:pt>
                <c:pt idx="8">
                  <c:v>2645.4100000000003</c:v>
                </c:pt>
                <c:pt idx="9">
                  <c:v>19380.16</c:v>
                </c:pt>
                <c:pt idx="10">
                  <c:v>11690.59</c:v>
                </c:pt>
                <c:pt idx="11">
                  <c:v>4429.4299999999994</c:v>
                </c:pt>
              </c:numCache>
            </c:numRef>
          </c:val>
          <c:extLst>
            <c:ext xmlns:c16="http://schemas.microsoft.com/office/drawing/2014/chart" uri="{C3380CC4-5D6E-409C-BE32-E72D297353CC}">
              <c16:uniqueId val="{00000000-50A8-45A2-A81D-1FB5F9F3B60D}"/>
            </c:ext>
          </c:extLst>
        </c:ser>
        <c:dLbls>
          <c:dLblPos val="inEnd"/>
          <c:showLegendKey val="0"/>
          <c:showVal val="1"/>
          <c:showCatName val="0"/>
          <c:showSerName val="0"/>
          <c:showPercent val="0"/>
          <c:showBubbleSize val="0"/>
        </c:dLbls>
        <c:gapWidth val="100"/>
        <c:overlap val="-24"/>
        <c:axId val="481387023"/>
        <c:axId val="49923583"/>
      </c:barChart>
      <c:catAx>
        <c:axId val="4813870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923583"/>
        <c:crosses val="autoZero"/>
        <c:auto val="1"/>
        <c:lblAlgn val="ctr"/>
        <c:lblOffset val="100"/>
        <c:noMultiLvlLbl val="0"/>
      </c:catAx>
      <c:valAx>
        <c:axId val="49923583"/>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138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SALESPERSONS 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TABLES'!$N$5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F53-463C-89EE-B715D978877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F53-463C-89EE-B715D978877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2F53-463C-89EE-B715D978877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2F53-463C-89EE-B715D978877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2F53-463C-89EE-B715D978877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0725-4801-B947-2DB05608D4F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0725-4801-B947-2DB05608D4F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0725-4801-B947-2DB05608D4F8}"/>
              </c:ext>
            </c:extLst>
          </c:dPt>
          <c:cat>
            <c:strRef>
              <c:f>'PIVOT TABLES'!$M$6:$M$14</c:f>
              <c:strCache>
                <c:ptCount val="8"/>
                <c:pt idx="0">
                  <c:v>Aarav</c:v>
                </c:pt>
                <c:pt idx="1">
                  <c:v>Arjun</c:v>
                </c:pt>
                <c:pt idx="2">
                  <c:v>Karan</c:v>
                </c:pt>
                <c:pt idx="3">
                  <c:v>Meera</c:v>
                </c:pt>
                <c:pt idx="4">
                  <c:v>Neha</c:v>
                </c:pt>
                <c:pt idx="5">
                  <c:v>Priya</c:v>
                </c:pt>
                <c:pt idx="6">
                  <c:v>Rahul</c:v>
                </c:pt>
                <c:pt idx="7">
                  <c:v>Simran</c:v>
                </c:pt>
              </c:strCache>
            </c:strRef>
          </c:cat>
          <c:val>
            <c:numRef>
              <c:f>'PIVOT TABLES'!$N$6:$N$14</c:f>
              <c:numCache>
                <c:formatCode>0.00</c:formatCode>
                <c:ptCount val="8"/>
                <c:pt idx="0">
                  <c:v>10576.33</c:v>
                </c:pt>
                <c:pt idx="1">
                  <c:v>26816.55</c:v>
                </c:pt>
                <c:pt idx="2">
                  <c:v>21094.649999999998</c:v>
                </c:pt>
                <c:pt idx="3">
                  <c:v>21765.91</c:v>
                </c:pt>
                <c:pt idx="4">
                  <c:v>4288.91</c:v>
                </c:pt>
                <c:pt idx="5">
                  <c:v>35899.42</c:v>
                </c:pt>
                <c:pt idx="6">
                  <c:v>20839.649999999998</c:v>
                </c:pt>
                <c:pt idx="7">
                  <c:v>17435.199999999997</c:v>
                </c:pt>
              </c:numCache>
            </c:numRef>
          </c:val>
          <c:extLst>
            <c:ext xmlns:c16="http://schemas.microsoft.com/office/drawing/2014/chart" uri="{C3380CC4-5D6E-409C-BE32-E72D297353CC}">
              <c16:uniqueId val="{0000000A-2F53-463C-89EE-B715D97887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TABLES!PivotTable8</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OF UNIT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TABLES'!$A$22:$A$32</c:f>
              <c:strCache>
                <c:ptCount val="10"/>
                <c:pt idx="0">
                  <c:v>Desk</c:v>
                </c:pt>
                <c:pt idx="1">
                  <c:v>Headset</c:v>
                </c:pt>
                <c:pt idx="2">
                  <c:v>Keyboard</c:v>
                </c:pt>
                <c:pt idx="3">
                  <c:v>Laptop</c:v>
                </c:pt>
                <c:pt idx="4">
                  <c:v>Monitor</c:v>
                </c:pt>
                <c:pt idx="5">
                  <c:v>Mouse</c:v>
                </c:pt>
                <c:pt idx="6">
                  <c:v>Office Chair</c:v>
                </c:pt>
                <c:pt idx="7">
                  <c:v>Printer</c:v>
                </c:pt>
                <c:pt idx="8">
                  <c:v>Tablet</c:v>
                </c:pt>
                <c:pt idx="9">
                  <c:v>Webcam</c:v>
                </c:pt>
              </c:strCache>
            </c:strRef>
          </c:cat>
          <c:val>
            <c:numRef>
              <c:f>'PIVOT TABLES'!$B$22:$B$32</c:f>
              <c:numCache>
                <c:formatCode>0.00</c:formatCode>
                <c:ptCount val="10"/>
                <c:pt idx="0">
                  <c:v>3517.89</c:v>
                </c:pt>
                <c:pt idx="1">
                  <c:v>744.18999999999983</c:v>
                </c:pt>
                <c:pt idx="2">
                  <c:v>504.21000000000004</c:v>
                </c:pt>
                <c:pt idx="3">
                  <c:v>9166.1999999999989</c:v>
                </c:pt>
                <c:pt idx="4">
                  <c:v>1633.81</c:v>
                </c:pt>
                <c:pt idx="5">
                  <c:v>279.20000000000005</c:v>
                </c:pt>
                <c:pt idx="6">
                  <c:v>423.1</c:v>
                </c:pt>
                <c:pt idx="7">
                  <c:v>1819.5400000000004</c:v>
                </c:pt>
                <c:pt idx="8">
                  <c:v>3198.99</c:v>
                </c:pt>
                <c:pt idx="9">
                  <c:v>936.3199999999996</c:v>
                </c:pt>
              </c:numCache>
            </c:numRef>
          </c:val>
          <c:smooth val="0"/>
          <c:extLst>
            <c:ext xmlns:c16="http://schemas.microsoft.com/office/drawing/2014/chart" uri="{C3380CC4-5D6E-409C-BE32-E72D297353CC}">
              <c16:uniqueId val="{00000000-6AB5-465F-8851-EF00FEEBC2E5}"/>
            </c:ext>
          </c:extLst>
        </c:ser>
        <c:dLbls>
          <c:showLegendKey val="0"/>
          <c:showVal val="0"/>
          <c:showCatName val="0"/>
          <c:showSerName val="0"/>
          <c:showPercent val="0"/>
          <c:showBubbleSize val="0"/>
        </c:dLbls>
        <c:marker val="1"/>
        <c:smooth val="0"/>
        <c:axId val="480606415"/>
        <c:axId val="431771839"/>
      </c:lineChart>
      <c:catAx>
        <c:axId val="48060641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1771839"/>
        <c:crosses val="autoZero"/>
        <c:auto val="1"/>
        <c:lblAlgn val="ctr"/>
        <c:lblOffset val="100"/>
        <c:noMultiLvlLbl val="0"/>
      </c:catAx>
      <c:valAx>
        <c:axId val="431771839"/>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060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png"/><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1264920</xdr:colOff>
      <xdr:row>0</xdr:row>
      <xdr:rowOff>7620</xdr:rowOff>
    </xdr:from>
    <xdr:to>
      <xdr:col>0</xdr:col>
      <xdr:colOff>1866900</xdr:colOff>
      <xdr:row>0</xdr:row>
      <xdr:rowOff>454544</xdr:rowOff>
    </xdr:to>
    <xdr:pic>
      <xdr:nvPicPr>
        <xdr:cNvPr id="3" name="Picture 2">
          <a:extLst>
            <a:ext uri="{FF2B5EF4-FFF2-40B4-BE49-F238E27FC236}">
              <a16:creationId xmlns:a16="http://schemas.microsoft.com/office/drawing/2014/main" id="{ED0DD4D2-D13A-8384-324B-28B90C18ED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64920" y="7620"/>
          <a:ext cx="601980" cy="446924"/>
        </a:xfrm>
        <a:prstGeom prst="rect">
          <a:avLst/>
        </a:prstGeom>
      </xdr:spPr>
    </xdr:pic>
    <xdr:clientData/>
  </xdr:twoCellAnchor>
  <xdr:twoCellAnchor editAs="oneCell">
    <xdr:from>
      <xdr:col>2</xdr:col>
      <xdr:colOff>1874520</xdr:colOff>
      <xdr:row>0</xdr:row>
      <xdr:rowOff>15240</xdr:rowOff>
    </xdr:from>
    <xdr:to>
      <xdr:col>3</xdr:col>
      <xdr:colOff>0</xdr:colOff>
      <xdr:row>0</xdr:row>
      <xdr:rowOff>462164</xdr:rowOff>
    </xdr:to>
    <xdr:pic>
      <xdr:nvPicPr>
        <xdr:cNvPr id="4" name="Picture 3">
          <a:extLst>
            <a:ext uri="{FF2B5EF4-FFF2-40B4-BE49-F238E27FC236}">
              <a16:creationId xmlns:a16="http://schemas.microsoft.com/office/drawing/2014/main" id="{07B854AD-466C-407E-83B0-0CC2D52418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27520" y="15240"/>
          <a:ext cx="601980" cy="4469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53340</xdr:colOff>
      <xdr:row>0</xdr:row>
      <xdr:rowOff>30481</xdr:rowOff>
    </xdr:from>
    <xdr:to>
      <xdr:col>2</xdr:col>
      <xdr:colOff>601979</xdr:colOff>
      <xdr:row>2</xdr:row>
      <xdr:rowOff>0</xdr:rowOff>
    </xdr:to>
    <xdr:pic>
      <xdr:nvPicPr>
        <xdr:cNvPr id="3" name="Picture 2">
          <a:extLst>
            <a:ext uri="{FF2B5EF4-FFF2-40B4-BE49-F238E27FC236}">
              <a16:creationId xmlns:a16="http://schemas.microsoft.com/office/drawing/2014/main" id="{927E3D73-064C-595F-1CB6-F196A5B8A5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0" y="30481"/>
          <a:ext cx="548639" cy="396239"/>
        </a:xfrm>
        <a:prstGeom prst="rect">
          <a:avLst/>
        </a:prstGeom>
      </xdr:spPr>
    </xdr:pic>
    <xdr:clientData/>
  </xdr:twoCellAnchor>
  <xdr:twoCellAnchor editAs="oneCell">
    <xdr:from>
      <xdr:col>11</xdr:col>
      <xdr:colOff>22860</xdr:colOff>
      <xdr:row>0</xdr:row>
      <xdr:rowOff>30481</xdr:rowOff>
    </xdr:from>
    <xdr:to>
      <xdr:col>11</xdr:col>
      <xdr:colOff>571499</xdr:colOff>
      <xdr:row>2</xdr:row>
      <xdr:rowOff>0</xdr:rowOff>
    </xdr:to>
    <xdr:pic>
      <xdr:nvPicPr>
        <xdr:cNvPr id="4" name="Picture 3">
          <a:extLst>
            <a:ext uri="{FF2B5EF4-FFF2-40B4-BE49-F238E27FC236}">
              <a16:creationId xmlns:a16="http://schemas.microsoft.com/office/drawing/2014/main" id="{DFECF50C-7DFB-4F30-A714-05D7CF80D9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81060" y="30481"/>
          <a:ext cx="548639" cy="3962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777875</xdr:colOff>
      <xdr:row>3</xdr:row>
      <xdr:rowOff>0</xdr:rowOff>
    </xdr:from>
    <xdr:to>
      <xdr:col>16</xdr:col>
      <xdr:colOff>539750</xdr:colOff>
      <xdr:row>46</xdr:row>
      <xdr:rowOff>31750</xdr:rowOff>
    </xdr:to>
    <xdr:sp macro="" textlink="">
      <xdr:nvSpPr>
        <xdr:cNvPr id="47" name="Rectangle 46">
          <a:extLst>
            <a:ext uri="{FF2B5EF4-FFF2-40B4-BE49-F238E27FC236}">
              <a16:creationId xmlns:a16="http://schemas.microsoft.com/office/drawing/2014/main" id="{7F61FA34-2B4D-7544-9BB8-118FEFFCB847}"/>
            </a:ext>
          </a:extLst>
        </xdr:cNvPr>
        <xdr:cNvSpPr/>
      </xdr:nvSpPr>
      <xdr:spPr>
        <a:xfrm>
          <a:off x="777875" y="777875"/>
          <a:ext cx="19415125" cy="8223250"/>
        </a:xfrm>
        <a:prstGeom prst="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877766</xdr:colOff>
      <xdr:row>28</xdr:row>
      <xdr:rowOff>154119</xdr:rowOff>
    </xdr:from>
    <xdr:to>
      <xdr:col>12</xdr:col>
      <xdr:colOff>564931</xdr:colOff>
      <xdr:row>44</xdr:row>
      <xdr:rowOff>170794</xdr:rowOff>
    </xdr:to>
    <xdr:graphicFrame macro="">
      <xdr:nvGraphicFramePr>
        <xdr:cNvPr id="6" name="Chart 5">
          <a:extLst>
            <a:ext uri="{FF2B5EF4-FFF2-40B4-BE49-F238E27FC236}">
              <a16:creationId xmlns:a16="http://schemas.microsoft.com/office/drawing/2014/main" id="{405344A9-1972-8490-B060-A65DFAF41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427182</xdr:colOff>
      <xdr:row>0</xdr:row>
      <xdr:rowOff>11545</xdr:rowOff>
    </xdr:from>
    <xdr:to>
      <xdr:col>7</xdr:col>
      <xdr:colOff>57727</xdr:colOff>
      <xdr:row>2</xdr:row>
      <xdr:rowOff>1808</xdr:rowOff>
    </xdr:to>
    <xdr:pic>
      <xdr:nvPicPr>
        <xdr:cNvPr id="9" name="Picture 8">
          <a:extLst>
            <a:ext uri="{FF2B5EF4-FFF2-40B4-BE49-F238E27FC236}">
              <a16:creationId xmlns:a16="http://schemas.microsoft.com/office/drawing/2014/main" id="{DEAD10CE-227E-6876-5BF7-8B50199AEF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21000" y="11545"/>
          <a:ext cx="2297545" cy="498263"/>
        </a:xfrm>
        <a:prstGeom prst="rect">
          <a:avLst/>
        </a:prstGeom>
      </xdr:spPr>
    </xdr:pic>
    <xdr:clientData/>
  </xdr:twoCellAnchor>
  <xdr:twoCellAnchor>
    <xdr:from>
      <xdr:col>12</xdr:col>
      <xdr:colOff>1191491</xdr:colOff>
      <xdr:row>0</xdr:row>
      <xdr:rowOff>13854</xdr:rowOff>
    </xdr:from>
    <xdr:to>
      <xdr:col>14</xdr:col>
      <xdr:colOff>752763</xdr:colOff>
      <xdr:row>2</xdr:row>
      <xdr:rowOff>4117</xdr:rowOff>
    </xdr:to>
    <xdr:pic>
      <xdr:nvPicPr>
        <xdr:cNvPr id="10" name="Picture 9">
          <a:extLst>
            <a:ext uri="{FF2B5EF4-FFF2-40B4-BE49-F238E27FC236}">
              <a16:creationId xmlns:a16="http://schemas.microsoft.com/office/drawing/2014/main" id="{F4BE4D01-A1C5-4360-ADE5-4FE7372938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20036" y="13854"/>
          <a:ext cx="2297545" cy="498263"/>
        </a:xfrm>
        <a:prstGeom prst="rect">
          <a:avLst/>
        </a:prstGeom>
      </xdr:spPr>
    </xdr:pic>
    <xdr:clientData/>
  </xdr:twoCellAnchor>
  <xdr:twoCellAnchor>
    <xdr:from>
      <xdr:col>13</xdr:col>
      <xdr:colOff>985693</xdr:colOff>
      <xdr:row>12</xdr:row>
      <xdr:rowOff>135657</xdr:rowOff>
    </xdr:from>
    <xdr:to>
      <xdr:col>16</xdr:col>
      <xdr:colOff>318944</xdr:colOff>
      <xdr:row>19</xdr:row>
      <xdr:rowOff>54839</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E6F8F031-8918-40E9-A3EB-CBC3F465C32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082818" y="2628032"/>
              <a:ext cx="3889376" cy="1252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946728</xdr:colOff>
      <xdr:row>20</xdr:row>
      <xdr:rowOff>1</xdr:rowOff>
    </xdr:from>
    <xdr:to>
      <xdr:col>16</xdr:col>
      <xdr:colOff>279977</xdr:colOff>
      <xdr:row>26</xdr:row>
      <xdr:rowOff>173182</xdr:rowOff>
    </xdr:to>
    <mc:AlternateContent xmlns:mc="http://schemas.openxmlformats.org/markup-compatibility/2006" xmlns:tsle="http://schemas.microsoft.com/office/drawing/2012/timeslicer">
      <mc:Choice Requires="tsle">
        <xdr:graphicFrame macro="">
          <xdr:nvGraphicFramePr>
            <xdr:cNvPr id="23" name="Date 1">
              <a:extLst>
                <a:ext uri="{FF2B5EF4-FFF2-40B4-BE49-F238E27FC236}">
                  <a16:creationId xmlns:a16="http://schemas.microsoft.com/office/drawing/2014/main" id="{1BDCF05D-66C9-447F-8D01-8F374F9CDA5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6043853" y="4016376"/>
              <a:ext cx="3889374" cy="13161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856384</xdr:colOff>
      <xdr:row>28</xdr:row>
      <xdr:rowOff>113315</xdr:rowOff>
    </xdr:from>
    <xdr:to>
      <xdr:col>6</xdr:col>
      <xdr:colOff>505114</xdr:colOff>
      <xdr:row>44</xdr:row>
      <xdr:rowOff>170794</xdr:rowOff>
    </xdr:to>
    <xdr:graphicFrame macro="">
      <xdr:nvGraphicFramePr>
        <xdr:cNvPr id="8" name="Chart 4">
          <a:extLst>
            <a:ext uri="{FF2B5EF4-FFF2-40B4-BE49-F238E27FC236}">
              <a16:creationId xmlns:a16="http://schemas.microsoft.com/office/drawing/2014/main" id="{CD0B42B3-3D21-745C-BB33-00A9C39CE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1333500</xdr:colOff>
      <xdr:row>3</xdr:row>
      <xdr:rowOff>48780</xdr:rowOff>
    </xdr:from>
    <xdr:to>
      <xdr:col>16</xdr:col>
      <xdr:colOff>370610</xdr:colOff>
      <xdr:row>10</xdr:row>
      <xdr:rowOff>173931</xdr:rowOff>
    </xdr:to>
    <xdr:grpSp>
      <xdr:nvGrpSpPr>
        <xdr:cNvPr id="26" name="Group 25">
          <a:extLst>
            <a:ext uri="{FF2B5EF4-FFF2-40B4-BE49-F238E27FC236}">
              <a16:creationId xmlns:a16="http://schemas.microsoft.com/office/drawing/2014/main" id="{C0DCF4EF-693A-41A9-9DED-7D1B7171C903}"/>
            </a:ext>
          </a:extLst>
        </xdr:cNvPr>
        <xdr:cNvGrpSpPr/>
      </xdr:nvGrpSpPr>
      <xdr:grpSpPr>
        <a:xfrm>
          <a:off x="14827250" y="826655"/>
          <a:ext cx="5196610" cy="1458651"/>
          <a:chOff x="10890539" y="944130"/>
          <a:chExt cx="3027796" cy="1466271"/>
        </a:xfrm>
      </xdr:grpSpPr>
      <xdr:sp macro="" textlink="">
        <xdr:nvSpPr>
          <xdr:cNvPr id="27" name="Rectangle: Rounded Corners 26">
            <a:extLst>
              <a:ext uri="{FF2B5EF4-FFF2-40B4-BE49-F238E27FC236}">
                <a16:creationId xmlns:a16="http://schemas.microsoft.com/office/drawing/2014/main" id="{7434A0F1-B106-865F-3D62-48BFE3778BE6}"/>
              </a:ext>
            </a:extLst>
          </xdr:cNvPr>
          <xdr:cNvSpPr/>
        </xdr:nvSpPr>
        <xdr:spPr>
          <a:xfrm>
            <a:off x="10890539" y="944130"/>
            <a:ext cx="3027796" cy="14662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t>TOTAL QUANTITY</a:t>
            </a:r>
          </a:p>
        </xdr:txBody>
      </xdr:sp>
      <xdr:sp macro="" textlink="'PIVOT TABLES'!BB84">
        <xdr:nvSpPr>
          <xdr:cNvPr id="31" name="Rectangle: Rounded Corners 30">
            <a:extLst>
              <a:ext uri="{FF2B5EF4-FFF2-40B4-BE49-F238E27FC236}">
                <a16:creationId xmlns:a16="http://schemas.microsoft.com/office/drawing/2014/main" id="{ACAEE690-2901-AB37-5F6F-CDC04C8BEE07}"/>
              </a:ext>
            </a:extLst>
          </xdr:cNvPr>
          <xdr:cNvSpPr/>
        </xdr:nvSpPr>
        <xdr:spPr>
          <a:xfrm>
            <a:off x="11029083" y="1706129"/>
            <a:ext cx="2727614" cy="6003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E014D52-F1A0-49D9-AE8F-529206360DA2}" type="TxLink">
              <a:rPr lang="en-US" sz="2800" b="1" i="0" u="none" strike="noStrike">
                <a:solidFill>
                  <a:srgbClr val="000000"/>
                </a:solidFill>
                <a:latin typeface="Calibri"/>
                <a:ea typeface="Calibri"/>
                <a:cs typeface="Calibri"/>
              </a:rPr>
              <a:pPr algn="ctr"/>
              <a:t> </a:t>
            </a:fld>
            <a:endParaRPr lang="en-IN" sz="2800"/>
          </a:p>
        </xdr:txBody>
      </xdr:sp>
    </xdr:grpSp>
    <xdr:clientData/>
  </xdr:twoCellAnchor>
  <xdr:twoCellAnchor>
    <xdr:from>
      <xdr:col>9</xdr:col>
      <xdr:colOff>708025</xdr:colOff>
      <xdr:row>3</xdr:row>
      <xdr:rowOff>74180</xdr:rowOff>
    </xdr:from>
    <xdr:to>
      <xdr:col>12</xdr:col>
      <xdr:colOff>904010</xdr:colOff>
      <xdr:row>11</xdr:row>
      <xdr:rowOff>8831</xdr:rowOff>
    </xdr:to>
    <xdr:grpSp>
      <xdr:nvGrpSpPr>
        <xdr:cNvPr id="36" name="Group 35">
          <a:extLst>
            <a:ext uri="{FF2B5EF4-FFF2-40B4-BE49-F238E27FC236}">
              <a16:creationId xmlns:a16="http://schemas.microsoft.com/office/drawing/2014/main" id="{A92FE726-F1F5-41D4-AC06-659BCA34F496}"/>
            </a:ext>
          </a:extLst>
        </xdr:cNvPr>
        <xdr:cNvGrpSpPr/>
      </xdr:nvGrpSpPr>
      <xdr:grpSpPr>
        <a:xfrm>
          <a:off x="10931525" y="852055"/>
          <a:ext cx="3466235" cy="1458651"/>
          <a:chOff x="10890539" y="944130"/>
          <a:chExt cx="3027796" cy="1466271"/>
        </a:xfrm>
      </xdr:grpSpPr>
      <xdr:sp macro="" textlink="">
        <xdr:nvSpPr>
          <xdr:cNvPr id="37" name="Rectangle: Rounded Corners 36">
            <a:extLst>
              <a:ext uri="{FF2B5EF4-FFF2-40B4-BE49-F238E27FC236}">
                <a16:creationId xmlns:a16="http://schemas.microsoft.com/office/drawing/2014/main" id="{E9B61B66-4DAD-5D0E-8990-9BFD135603D2}"/>
              </a:ext>
            </a:extLst>
          </xdr:cNvPr>
          <xdr:cNvSpPr/>
        </xdr:nvSpPr>
        <xdr:spPr>
          <a:xfrm>
            <a:off x="10890539" y="944130"/>
            <a:ext cx="3027796" cy="14662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t>TOTAL PROFIT</a:t>
            </a:r>
          </a:p>
        </xdr:txBody>
      </xdr:sp>
      <xdr:sp macro="" textlink="'PIVOT TABLES'!BB84">
        <xdr:nvSpPr>
          <xdr:cNvPr id="38" name="Rectangle: Rounded Corners 37">
            <a:extLst>
              <a:ext uri="{FF2B5EF4-FFF2-40B4-BE49-F238E27FC236}">
                <a16:creationId xmlns:a16="http://schemas.microsoft.com/office/drawing/2014/main" id="{C5F23196-D8BC-B7F7-BDE7-61C7434273A0}"/>
              </a:ext>
            </a:extLst>
          </xdr:cNvPr>
          <xdr:cNvSpPr/>
        </xdr:nvSpPr>
        <xdr:spPr>
          <a:xfrm>
            <a:off x="11029083" y="1706129"/>
            <a:ext cx="2727614" cy="6003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E014D52-F1A0-49D9-AE8F-529206360DA2}" type="TxLink">
              <a:rPr lang="en-US" sz="2800" b="1" i="0" u="none" strike="noStrike">
                <a:solidFill>
                  <a:srgbClr val="000000"/>
                </a:solidFill>
                <a:latin typeface="Calibri"/>
                <a:ea typeface="Calibri"/>
                <a:cs typeface="Calibri"/>
              </a:rPr>
              <a:pPr algn="ctr"/>
              <a:t> </a:t>
            </a:fld>
            <a:endParaRPr lang="en-IN" sz="2800"/>
          </a:p>
        </xdr:txBody>
      </xdr:sp>
    </xdr:grpSp>
    <xdr:clientData/>
  </xdr:twoCellAnchor>
  <xdr:twoCellAnchor>
    <xdr:from>
      <xdr:col>5</xdr:col>
      <xdr:colOff>82550</xdr:colOff>
      <xdr:row>3</xdr:row>
      <xdr:rowOff>83705</xdr:rowOff>
    </xdr:from>
    <xdr:to>
      <xdr:col>9</xdr:col>
      <xdr:colOff>262660</xdr:colOff>
      <xdr:row>11</xdr:row>
      <xdr:rowOff>18356</xdr:rowOff>
    </xdr:to>
    <xdr:grpSp>
      <xdr:nvGrpSpPr>
        <xdr:cNvPr id="39" name="Group 38">
          <a:extLst>
            <a:ext uri="{FF2B5EF4-FFF2-40B4-BE49-F238E27FC236}">
              <a16:creationId xmlns:a16="http://schemas.microsoft.com/office/drawing/2014/main" id="{D686C4FF-488B-481E-B674-F0FA903403DD}"/>
            </a:ext>
          </a:extLst>
        </xdr:cNvPr>
        <xdr:cNvGrpSpPr/>
      </xdr:nvGrpSpPr>
      <xdr:grpSpPr>
        <a:xfrm>
          <a:off x="5686425" y="861580"/>
          <a:ext cx="4799735" cy="1458651"/>
          <a:chOff x="10890539" y="944130"/>
          <a:chExt cx="3027796" cy="1466271"/>
        </a:xfrm>
      </xdr:grpSpPr>
      <xdr:sp macro="" textlink="">
        <xdr:nvSpPr>
          <xdr:cNvPr id="40" name="Rectangle: Rounded Corners 39">
            <a:extLst>
              <a:ext uri="{FF2B5EF4-FFF2-40B4-BE49-F238E27FC236}">
                <a16:creationId xmlns:a16="http://schemas.microsoft.com/office/drawing/2014/main" id="{94D5060E-1941-09DE-C7E0-866EDC6D3FD7}"/>
              </a:ext>
            </a:extLst>
          </xdr:cNvPr>
          <xdr:cNvSpPr/>
        </xdr:nvSpPr>
        <xdr:spPr>
          <a:xfrm>
            <a:off x="10890539" y="944130"/>
            <a:ext cx="3027796" cy="14662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t>TOTAL COST</a:t>
            </a:r>
          </a:p>
        </xdr:txBody>
      </xdr:sp>
      <xdr:sp macro="" textlink="'PIVOT TABLES'!BB84">
        <xdr:nvSpPr>
          <xdr:cNvPr id="41" name="Rectangle: Rounded Corners 40">
            <a:extLst>
              <a:ext uri="{FF2B5EF4-FFF2-40B4-BE49-F238E27FC236}">
                <a16:creationId xmlns:a16="http://schemas.microsoft.com/office/drawing/2014/main" id="{8AA687A0-1579-4F7A-0661-F85727E3D950}"/>
              </a:ext>
            </a:extLst>
          </xdr:cNvPr>
          <xdr:cNvSpPr/>
        </xdr:nvSpPr>
        <xdr:spPr>
          <a:xfrm>
            <a:off x="11029083" y="1706129"/>
            <a:ext cx="2727614" cy="6003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E014D52-F1A0-49D9-AE8F-529206360DA2}" type="TxLink">
              <a:rPr lang="en-US" sz="2800" b="1" i="0" u="none" strike="noStrike">
                <a:solidFill>
                  <a:srgbClr val="000000"/>
                </a:solidFill>
                <a:latin typeface="Calibri"/>
                <a:ea typeface="Calibri"/>
                <a:cs typeface="Calibri"/>
              </a:rPr>
              <a:pPr algn="ctr"/>
              <a:t> </a:t>
            </a:fld>
            <a:endParaRPr lang="en-IN" sz="2800"/>
          </a:p>
        </xdr:txBody>
      </xdr:sp>
    </xdr:grpSp>
    <xdr:clientData/>
  </xdr:twoCellAnchor>
  <xdr:twoCellAnchor>
    <xdr:from>
      <xdr:col>1</xdr:col>
      <xdr:colOff>44450</xdr:colOff>
      <xdr:row>3</xdr:row>
      <xdr:rowOff>93230</xdr:rowOff>
    </xdr:from>
    <xdr:to>
      <xdr:col>4</xdr:col>
      <xdr:colOff>954810</xdr:colOff>
      <xdr:row>11</xdr:row>
      <xdr:rowOff>27881</xdr:rowOff>
    </xdr:to>
    <xdr:grpSp>
      <xdr:nvGrpSpPr>
        <xdr:cNvPr id="42" name="Group 41">
          <a:extLst>
            <a:ext uri="{FF2B5EF4-FFF2-40B4-BE49-F238E27FC236}">
              <a16:creationId xmlns:a16="http://schemas.microsoft.com/office/drawing/2014/main" id="{C364C933-60EE-44D4-BEB5-E62B99E3E90F}"/>
            </a:ext>
          </a:extLst>
        </xdr:cNvPr>
        <xdr:cNvGrpSpPr/>
      </xdr:nvGrpSpPr>
      <xdr:grpSpPr>
        <a:xfrm>
          <a:off x="901700" y="871105"/>
          <a:ext cx="4291735" cy="1458651"/>
          <a:chOff x="10890539" y="944130"/>
          <a:chExt cx="3027796" cy="1466271"/>
        </a:xfrm>
      </xdr:grpSpPr>
      <xdr:sp macro="" textlink="">
        <xdr:nvSpPr>
          <xdr:cNvPr id="43" name="Rectangle: Rounded Corners 42">
            <a:extLst>
              <a:ext uri="{FF2B5EF4-FFF2-40B4-BE49-F238E27FC236}">
                <a16:creationId xmlns:a16="http://schemas.microsoft.com/office/drawing/2014/main" id="{5B751D45-0FB7-2D62-1E9D-684AD4139DC7}"/>
              </a:ext>
            </a:extLst>
          </xdr:cNvPr>
          <xdr:cNvSpPr/>
        </xdr:nvSpPr>
        <xdr:spPr>
          <a:xfrm>
            <a:off x="10890539" y="944130"/>
            <a:ext cx="3027796" cy="14662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t>TOTAL SALES</a:t>
            </a:r>
          </a:p>
        </xdr:txBody>
      </xdr:sp>
      <xdr:sp macro="" textlink="'PIVOT TABLES'!BB84">
        <xdr:nvSpPr>
          <xdr:cNvPr id="44" name="Rectangle: Rounded Corners 43">
            <a:extLst>
              <a:ext uri="{FF2B5EF4-FFF2-40B4-BE49-F238E27FC236}">
                <a16:creationId xmlns:a16="http://schemas.microsoft.com/office/drawing/2014/main" id="{1E0DDAA1-B30E-F24C-7714-6BC42C1F26E0}"/>
              </a:ext>
            </a:extLst>
          </xdr:cNvPr>
          <xdr:cNvSpPr/>
        </xdr:nvSpPr>
        <xdr:spPr>
          <a:xfrm>
            <a:off x="11029083" y="1706129"/>
            <a:ext cx="2727614" cy="6003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E014D52-F1A0-49D9-AE8F-529206360DA2}" type="TxLink">
              <a:rPr lang="en-US" sz="2800" b="1" i="0" u="none" strike="noStrike">
                <a:solidFill>
                  <a:srgbClr val="000000"/>
                </a:solidFill>
                <a:latin typeface="Calibri"/>
                <a:ea typeface="Calibri"/>
                <a:cs typeface="Calibri"/>
              </a:rPr>
              <a:pPr algn="ctr"/>
              <a:t> </a:t>
            </a:fld>
            <a:endParaRPr lang="en-IN" sz="2800"/>
          </a:p>
        </xdr:txBody>
      </xdr:sp>
    </xdr:grpSp>
    <xdr:clientData/>
  </xdr:twoCellAnchor>
  <xdr:twoCellAnchor>
    <xdr:from>
      <xdr:col>10</xdr:col>
      <xdr:colOff>157443</xdr:colOff>
      <xdr:row>12</xdr:row>
      <xdr:rowOff>186391</xdr:rowOff>
    </xdr:from>
    <xdr:to>
      <xdr:col>13</xdr:col>
      <xdr:colOff>730250</xdr:colOff>
      <xdr:row>27</xdr:row>
      <xdr:rowOff>0</xdr:rowOff>
    </xdr:to>
    <xdr:graphicFrame macro="">
      <xdr:nvGraphicFramePr>
        <xdr:cNvPr id="48" name="Chart 1">
          <a:extLst>
            <a:ext uri="{FF2B5EF4-FFF2-40B4-BE49-F238E27FC236}">
              <a16:creationId xmlns:a16="http://schemas.microsoft.com/office/drawing/2014/main" id="{E51EDD59-FE2E-54E1-7BA5-6DDC33DC8E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1036731</xdr:colOff>
      <xdr:row>28</xdr:row>
      <xdr:rowOff>144182</xdr:rowOff>
    </xdr:from>
    <xdr:to>
      <xdr:col>16</xdr:col>
      <xdr:colOff>269875</xdr:colOff>
      <xdr:row>44</xdr:row>
      <xdr:rowOff>158750</xdr:rowOff>
    </xdr:to>
    <xdr:graphicFrame macro="">
      <xdr:nvGraphicFramePr>
        <xdr:cNvPr id="49" name="Chart 4">
          <a:extLst>
            <a:ext uri="{FF2B5EF4-FFF2-40B4-BE49-F238E27FC236}">
              <a16:creationId xmlns:a16="http://schemas.microsoft.com/office/drawing/2014/main" id="{953759DF-DBF2-272B-6435-8500DB10D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urp" refreshedDate="46257.878761689812" createdVersion="8" refreshedVersion="8" minRefreshableVersion="3" recordCount="100" xr:uid="{7B43FAE3-A0B9-412A-97F6-03784CD31095}">
  <cacheSource type="worksheet">
    <worksheetSource name="data"/>
  </cacheSource>
  <cacheFields count="14">
    <cacheField name="Order ID" numFmtId="0">
      <sharedItems/>
    </cacheField>
    <cacheField name="Date" numFmtId="164">
      <sharedItems containsSemiMixedTypes="0" containsNonDate="0" containsDate="1" containsString="0" minDate="2025-01-02T00:00:00" maxDate="2025-12-30T00:00:00" count="88">
        <d v="2025-01-02T00:00:00"/>
        <d v="2025-01-11T00:00:00"/>
        <d v="2025-01-14T00:00:00"/>
        <d v="2025-01-17T00:00:00"/>
        <d v="2025-01-20T00:00:00"/>
        <d v="2025-01-21T00:00:00"/>
        <d v="2025-01-31T00:00:00"/>
        <d v="2025-02-07T00:00:00"/>
        <d v="2025-02-08T00:00:00"/>
        <d v="2025-02-17T00:00:00"/>
        <d v="2025-02-22T00:00:00"/>
        <d v="2025-02-24T00:00:00"/>
        <d v="2025-02-26T00:00:00"/>
        <d v="2025-03-03T00:00:00"/>
        <d v="2025-03-09T00:00:00"/>
        <d v="2025-03-21T00:00:00"/>
        <d v="2025-03-22T00:00:00"/>
        <d v="2025-03-23T00:00:00"/>
        <d v="2025-03-25T00:00:00"/>
        <d v="2025-03-28T00:00:00"/>
        <d v="2025-03-31T00:00:00"/>
        <d v="2025-04-05T00:00:00"/>
        <d v="2025-04-08T00:00:00"/>
        <d v="2025-04-09T00:00:00"/>
        <d v="2025-04-20T00:00:00"/>
        <d v="2025-04-27T00:00:00"/>
        <d v="2025-04-30T00:00:00"/>
        <d v="2025-05-01T00:00:00"/>
        <d v="2025-05-06T00:00:00"/>
        <d v="2025-05-08T00:00:00"/>
        <d v="2025-05-13T00:00:00"/>
        <d v="2025-05-14T00:00:00"/>
        <d v="2025-05-15T00:00:00"/>
        <d v="2025-05-16T00:00:00"/>
        <d v="2025-05-22T00:00:00"/>
        <d v="2025-05-23T00:00:00"/>
        <d v="2025-05-27T00:00:00"/>
        <d v="2025-06-06T00:00:00"/>
        <d v="2025-06-07T00:00:00"/>
        <d v="2025-06-10T00:00:00"/>
        <d v="2025-06-16T00:00:00"/>
        <d v="2025-06-20T00:00:00"/>
        <d v="2025-06-21T00:00:00"/>
        <d v="2025-06-22T00:00:00"/>
        <d v="2025-06-29T00:00:00"/>
        <d v="2025-06-30T00:00:00"/>
        <d v="2025-07-01T00:00:00"/>
        <d v="2025-07-05T00:00:00"/>
        <d v="2025-07-09T00:00:00"/>
        <d v="2025-07-11T00:00:00"/>
        <d v="2025-07-12T00:00:00"/>
        <d v="2025-07-14T00:00:00"/>
        <d v="2025-07-16T00:00:00"/>
        <d v="2025-07-19T00:00:00"/>
        <d v="2025-07-21T00:00:00"/>
        <d v="2025-07-24T00:00:00"/>
        <d v="2025-07-28T00:00:00"/>
        <d v="2025-08-04T00:00:00"/>
        <d v="2025-08-09T00:00:00"/>
        <d v="2025-08-12T00:00:00"/>
        <d v="2025-08-24T00:00:00"/>
        <d v="2025-08-27T00:00:00"/>
        <d v="2025-08-28T00:00:00"/>
        <d v="2025-09-06T00:00:00"/>
        <d v="2025-09-17T00:00:00"/>
        <d v="2025-09-26T00:00:00"/>
        <d v="2025-09-28T00:00:00"/>
        <d v="2025-09-29T00:00:00"/>
        <d v="2025-10-03T00:00:00"/>
        <d v="2025-10-05T00:00:00"/>
        <d v="2025-10-08T00:00:00"/>
        <d v="2025-10-11T00:00:00"/>
        <d v="2025-10-13T00:00:00"/>
        <d v="2025-10-14T00:00:00"/>
        <d v="2025-10-15T00:00:00"/>
        <d v="2025-10-18T00:00:00"/>
        <d v="2025-10-23T00:00:00"/>
        <d v="2025-10-24T00:00:00"/>
        <d v="2025-10-26T00:00:00"/>
        <d v="2025-11-09T00:00:00"/>
        <d v="2025-11-14T00:00:00"/>
        <d v="2025-11-16T00:00:00"/>
        <d v="2025-11-23T00:00:00"/>
        <d v="2025-11-25T00:00:00"/>
        <d v="2025-11-27T00:00:00"/>
        <d v="2025-12-12T00:00:00"/>
        <d v="2025-12-23T00:00:00"/>
        <d v="2025-12-29T00:00:00"/>
      </sharedItems>
      <fieldGroup par="13"/>
    </cacheField>
    <cacheField name="Region" numFmtId="0">
      <sharedItems count="5">
        <s v="East"/>
        <s v="South"/>
        <s v="West"/>
        <s v="North "/>
        <s v="North"/>
      </sharedItems>
    </cacheField>
    <cacheField name="Salesperson" numFmtId="0">
      <sharedItems count="8">
        <s v="Rahul"/>
        <s v="Priya"/>
        <s v="Arjun"/>
        <s v="Simran"/>
        <s v="Meera"/>
        <s v="Karan"/>
        <s v="Neha"/>
        <s v="Aarav"/>
      </sharedItems>
    </cacheField>
    <cacheField name="Product" numFmtId="0">
      <sharedItems count="10">
        <s v="Laptop"/>
        <s v="Tablet"/>
        <s v="Printer"/>
        <s v="Keyboard"/>
        <s v="Desk"/>
        <s v="Monitor"/>
        <s v="Mouse"/>
        <s v="Office Chair"/>
        <s v="Headset"/>
        <s v="Webcam"/>
      </sharedItems>
    </cacheField>
    <cacheField name="Category" numFmtId="0">
      <sharedItems count="3">
        <s v="Electronics"/>
        <s v="Accessories"/>
        <s v="Furniture"/>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22.65" maxValue="747.38"/>
    </cacheField>
    <cacheField name="Discount %" numFmtId="9">
      <sharedItems containsSemiMixedTypes="0" containsString="0" containsNumber="1" minValue="0" maxValue="0.15" count="7">
        <n v="0.15"/>
        <n v="0.02"/>
        <n v="0"/>
        <n v="0.05"/>
        <n v="0.08"/>
        <n v="0.12"/>
        <n v="0.1"/>
      </sharedItems>
    </cacheField>
    <cacheField name="Sales" numFmtId="2">
      <sharedItems containsSemiMixedTypes="0" containsString="0" containsNumber="1" minValue="37.369999999999997" maxValue="8413.99"/>
    </cacheField>
    <cacheField name="Cost" numFmtId="2">
      <sharedItems containsSemiMixedTypes="0" containsString="0" containsNumber="1" minValue="38.29" maxValue="5987.88"/>
    </cacheField>
    <cacheField name="Profit" numFmtId="2">
      <sharedItems containsSemiMixedTypes="0" containsString="0" containsNumber="1" minValue="-0.92" maxValue="3127.89"/>
    </cacheField>
    <cacheField name="Days (Date)" numFmtId="0" databaseField="0">
      <fieldGroup base="1">
        <rangePr groupBy="days" startDate="2025-01-02T00:00:00" endDate="2025-12-30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5"/>
        </groupItems>
      </fieldGroup>
    </cacheField>
    <cacheField name="Months (Date)" numFmtId="0" databaseField="0">
      <fieldGroup base="1">
        <rangePr groupBy="months" startDate="2025-01-02T00:00:00" endDate="2025-12-30T00:00:00"/>
        <groupItems count="14">
          <s v="&lt;02-01-2025"/>
          <s v="Jan"/>
          <s v="Feb"/>
          <s v="Mar"/>
          <s v="Apr"/>
          <s v="May"/>
          <s v="Jun"/>
          <s v="Jul"/>
          <s v="Aug"/>
          <s v="Sep"/>
          <s v="Oct"/>
          <s v="Nov"/>
          <s v="Dec"/>
          <s v="&gt;30-12-2025"/>
        </groupItems>
      </fieldGroup>
    </cacheField>
  </cacheFields>
  <extLst>
    <ext xmlns:x14="http://schemas.microsoft.com/office/spreadsheetml/2009/9/main" uri="{725AE2AE-9491-48be-B2B4-4EB974FC3084}">
      <x14:pivotCacheDefinition pivotCacheId="459745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x v="0"/>
    <x v="0"/>
    <x v="0"/>
    <x v="0"/>
    <x v="0"/>
    <n v="2"/>
    <n v="688.07"/>
    <x v="0"/>
    <n v="1169.72"/>
    <n v="882.52"/>
    <n v="287.2"/>
  </r>
  <r>
    <s v="ORD-002"/>
    <x v="1"/>
    <x v="1"/>
    <x v="1"/>
    <x v="0"/>
    <x v="0"/>
    <n v="13"/>
    <n v="590.04"/>
    <x v="1"/>
    <n v="7517.11"/>
    <n v="4723.42"/>
    <n v="2793.69"/>
  </r>
  <r>
    <s v="ORD-003"/>
    <x v="1"/>
    <x v="1"/>
    <x v="1"/>
    <x v="1"/>
    <x v="0"/>
    <n v="8"/>
    <n v="325.58999999999997"/>
    <x v="1"/>
    <n v="2552.63"/>
    <n v="1487.63"/>
    <n v="1065"/>
  </r>
  <r>
    <s v="ORD-004"/>
    <x v="2"/>
    <x v="1"/>
    <x v="2"/>
    <x v="0"/>
    <x v="0"/>
    <n v="1"/>
    <n v="600.23"/>
    <x v="1"/>
    <n v="588.23"/>
    <n v="430.23"/>
    <n v="158"/>
  </r>
  <r>
    <s v="ORD-005"/>
    <x v="3"/>
    <x v="0"/>
    <x v="3"/>
    <x v="0"/>
    <x v="0"/>
    <n v="2"/>
    <n v="700.02"/>
    <x v="2"/>
    <n v="1400.04"/>
    <n v="875.8"/>
    <n v="524.24"/>
  </r>
  <r>
    <s v="ORD-006"/>
    <x v="4"/>
    <x v="2"/>
    <x v="1"/>
    <x v="2"/>
    <x v="0"/>
    <n v="3"/>
    <n v="197.43"/>
    <x v="2"/>
    <n v="592.29"/>
    <n v="400.53"/>
    <n v="191.76"/>
  </r>
  <r>
    <s v="ORD-007"/>
    <x v="5"/>
    <x v="0"/>
    <x v="1"/>
    <x v="3"/>
    <x v="1"/>
    <n v="1"/>
    <n v="43.97"/>
    <x v="0"/>
    <n v="37.369999999999997"/>
    <n v="38.29"/>
    <n v="-0.92"/>
  </r>
  <r>
    <s v="ORD-008"/>
    <x v="6"/>
    <x v="1"/>
    <x v="2"/>
    <x v="4"/>
    <x v="2"/>
    <n v="8"/>
    <n v="285.7"/>
    <x v="0"/>
    <n v="1942.76"/>
    <n v="1559.56"/>
    <n v="383.2"/>
  </r>
  <r>
    <s v="ORD-009"/>
    <x v="7"/>
    <x v="3"/>
    <x v="4"/>
    <x v="4"/>
    <x v="2"/>
    <n v="3"/>
    <n v="299.02"/>
    <x v="3"/>
    <n v="852.21"/>
    <n v="628.74"/>
    <n v="223.47"/>
  </r>
  <r>
    <s v="ORD-010"/>
    <x v="8"/>
    <x v="2"/>
    <x v="3"/>
    <x v="3"/>
    <x v="1"/>
    <n v="7"/>
    <n v="42.56"/>
    <x v="4"/>
    <n v="274.08999999999997"/>
    <n v="188.42"/>
    <n v="85.67"/>
  </r>
  <r>
    <s v="ORD-011"/>
    <x v="9"/>
    <x v="2"/>
    <x v="3"/>
    <x v="2"/>
    <x v="0"/>
    <n v="3"/>
    <n v="171.69"/>
    <x v="0"/>
    <n v="437.81"/>
    <n v="340.5"/>
    <n v="97.31"/>
  </r>
  <r>
    <s v="ORD-012"/>
    <x v="9"/>
    <x v="1"/>
    <x v="0"/>
    <x v="0"/>
    <x v="0"/>
    <n v="11"/>
    <n v="747.38"/>
    <x v="0"/>
    <n v="6988"/>
    <n v="4561.6899999999996"/>
    <n v="2426.31"/>
  </r>
  <r>
    <s v="ORD-013"/>
    <x v="10"/>
    <x v="4"/>
    <x v="2"/>
    <x v="5"/>
    <x v="0"/>
    <n v="1"/>
    <n v="238.79"/>
    <x v="1"/>
    <n v="234.01"/>
    <n v="148.91999999999999"/>
    <n v="85.09"/>
  </r>
  <r>
    <s v="ORD-014"/>
    <x v="11"/>
    <x v="2"/>
    <x v="1"/>
    <x v="6"/>
    <x v="1"/>
    <n v="3"/>
    <n v="26.6"/>
    <x v="2"/>
    <n v="79.8"/>
    <n v="67.400000000000006"/>
    <n v="12.4"/>
  </r>
  <r>
    <s v="ORD-015"/>
    <x v="12"/>
    <x v="1"/>
    <x v="0"/>
    <x v="6"/>
    <x v="1"/>
    <n v="3"/>
    <n v="25.68"/>
    <x v="2"/>
    <n v="77.040000000000006"/>
    <n v="61.59"/>
    <n v="15.45"/>
  </r>
  <r>
    <s v="ORD-016"/>
    <x v="13"/>
    <x v="1"/>
    <x v="1"/>
    <x v="2"/>
    <x v="0"/>
    <n v="5"/>
    <n v="172.37"/>
    <x v="5"/>
    <n v="758.42999999999904"/>
    <n v="528.79"/>
    <n v="229.64"/>
  </r>
  <r>
    <s v="ORD-017"/>
    <x v="14"/>
    <x v="2"/>
    <x v="1"/>
    <x v="1"/>
    <x v="0"/>
    <n v="4"/>
    <n v="339.37"/>
    <x v="4"/>
    <n v="1248.8800000000001"/>
    <n v="842.59"/>
    <n v="406.29"/>
  </r>
  <r>
    <s v="ORD-018"/>
    <x v="15"/>
    <x v="0"/>
    <x v="5"/>
    <x v="3"/>
    <x v="1"/>
    <n v="5"/>
    <n v="41.8"/>
    <x v="2"/>
    <n v="209"/>
    <n v="166.15"/>
    <n v="42.85"/>
  </r>
  <r>
    <s v="ORD-019"/>
    <x v="16"/>
    <x v="2"/>
    <x v="5"/>
    <x v="7"/>
    <x v="2"/>
    <n v="15"/>
    <n v="137.58000000000001"/>
    <x v="1"/>
    <n v="2022.43"/>
    <n v="1386.69"/>
    <n v="635.74"/>
  </r>
  <r>
    <s v="ORD-020"/>
    <x v="17"/>
    <x v="2"/>
    <x v="6"/>
    <x v="6"/>
    <x v="1"/>
    <n v="8"/>
    <n v="26.18"/>
    <x v="0"/>
    <n v="178.02"/>
    <n v="175.27"/>
    <n v="2.75"/>
  </r>
  <r>
    <s v="ORD-021"/>
    <x v="18"/>
    <x v="0"/>
    <x v="3"/>
    <x v="3"/>
    <x v="1"/>
    <n v="10"/>
    <n v="47.33"/>
    <x v="5"/>
    <n v="416.5"/>
    <n v="372.51"/>
    <n v="43.99"/>
  </r>
  <r>
    <s v="ORD-022"/>
    <x v="18"/>
    <x v="2"/>
    <x v="2"/>
    <x v="5"/>
    <x v="0"/>
    <n v="10"/>
    <n v="232.92"/>
    <x v="6"/>
    <n v="2096.2800000000002"/>
    <n v="1841.49"/>
    <n v="254.79"/>
  </r>
  <r>
    <s v="ORD-023"/>
    <x v="19"/>
    <x v="4"/>
    <x v="5"/>
    <x v="8"/>
    <x v="1"/>
    <n v="8"/>
    <n v="64.13"/>
    <x v="6"/>
    <n v="461.74"/>
    <n v="362.28"/>
    <n v="99.459999999999894"/>
  </r>
  <r>
    <s v="ORD-024"/>
    <x v="20"/>
    <x v="0"/>
    <x v="2"/>
    <x v="6"/>
    <x v="1"/>
    <n v="7"/>
    <n v="26.66"/>
    <x v="4"/>
    <n v="171.69"/>
    <n v="144.35"/>
    <n v="27.34"/>
  </r>
  <r>
    <s v="ORD-025"/>
    <x v="21"/>
    <x v="4"/>
    <x v="5"/>
    <x v="0"/>
    <x v="0"/>
    <n v="10"/>
    <n v="631.21"/>
    <x v="4"/>
    <n v="5807.13"/>
    <n v="4389.1499999999996"/>
    <n v="1417.98"/>
  </r>
  <r>
    <s v="ORD-026"/>
    <x v="22"/>
    <x v="4"/>
    <x v="1"/>
    <x v="9"/>
    <x v="1"/>
    <n v="12"/>
    <n v="89.599999999999895"/>
    <x v="6"/>
    <n v="967.67999999999904"/>
    <n v="594.96"/>
    <n v="372.72"/>
  </r>
  <r>
    <s v="ORD-027"/>
    <x v="23"/>
    <x v="1"/>
    <x v="4"/>
    <x v="4"/>
    <x v="2"/>
    <n v="12"/>
    <n v="275.75"/>
    <x v="0"/>
    <n v="2812.65"/>
    <n v="1939.27"/>
    <n v="873.38"/>
  </r>
  <r>
    <s v="ORD-028"/>
    <x v="24"/>
    <x v="4"/>
    <x v="2"/>
    <x v="3"/>
    <x v="1"/>
    <n v="3"/>
    <n v="43.1"/>
    <x v="5"/>
    <n v="113.78"/>
    <n v="77.64"/>
    <n v="36.14"/>
  </r>
  <r>
    <s v="ORD-029"/>
    <x v="25"/>
    <x v="1"/>
    <x v="7"/>
    <x v="6"/>
    <x v="1"/>
    <n v="14"/>
    <n v="28.24"/>
    <x v="3"/>
    <n v="375.59"/>
    <n v="257.27"/>
    <n v="118.32"/>
  </r>
  <r>
    <s v="ORD-030"/>
    <x v="26"/>
    <x v="4"/>
    <x v="2"/>
    <x v="0"/>
    <x v="0"/>
    <n v="11"/>
    <n v="622.03"/>
    <x v="3"/>
    <n v="6500.21"/>
    <n v="5987.88"/>
    <n v="512.33000000000004"/>
  </r>
  <r>
    <s v="ORD-031"/>
    <x v="27"/>
    <x v="0"/>
    <x v="1"/>
    <x v="1"/>
    <x v="0"/>
    <n v="11"/>
    <n v="370.38"/>
    <x v="3"/>
    <n v="3870.47"/>
    <n v="2366.36"/>
    <n v="1504.11"/>
  </r>
  <r>
    <s v="ORD-032"/>
    <x v="28"/>
    <x v="4"/>
    <x v="5"/>
    <x v="4"/>
    <x v="2"/>
    <n v="14"/>
    <n v="303.17"/>
    <x v="3"/>
    <n v="4032.16"/>
    <n v="2785.84"/>
    <n v="1246.32"/>
  </r>
  <r>
    <s v="ORD-033"/>
    <x v="29"/>
    <x v="4"/>
    <x v="2"/>
    <x v="3"/>
    <x v="1"/>
    <n v="13"/>
    <n v="46.83"/>
    <x v="3"/>
    <n v="578.35"/>
    <n v="351.95"/>
    <n v="226.4"/>
  </r>
  <r>
    <s v="ORD-034"/>
    <x v="30"/>
    <x v="0"/>
    <x v="5"/>
    <x v="8"/>
    <x v="1"/>
    <n v="14"/>
    <n v="58.88"/>
    <x v="4"/>
    <n v="758.37"/>
    <n v="511.08"/>
    <n v="247.29"/>
  </r>
  <r>
    <s v="ORD-035"/>
    <x v="31"/>
    <x v="1"/>
    <x v="5"/>
    <x v="1"/>
    <x v="0"/>
    <n v="6"/>
    <n v="397.18"/>
    <x v="2"/>
    <n v="2383.08"/>
    <n v="2000.41"/>
    <n v="382.67"/>
  </r>
  <r>
    <s v="ORD-036"/>
    <x v="32"/>
    <x v="1"/>
    <x v="3"/>
    <x v="2"/>
    <x v="0"/>
    <n v="7"/>
    <n v="169.12"/>
    <x v="2"/>
    <n v="1183.8399999999999"/>
    <n v="1023.74"/>
    <n v="160.1"/>
  </r>
  <r>
    <s v="ORD-037"/>
    <x v="33"/>
    <x v="1"/>
    <x v="1"/>
    <x v="8"/>
    <x v="1"/>
    <n v="7"/>
    <n v="67.27"/>
    <x v="5"/>
    <n v="414.38"/>
    <n v="330.29"/>
    <n v="84.09"/>
  </r>
  <r>
    <s v="ORD-038"/>
    <x v="33"/>
    <x v="2"/>
    <x v="5"/>
    <x v="9"/>
    <x v="1"/>
    <n v="4"/>
    <n v="86.349999999999895"/>
    <x v="1"/>
    <n v="338.49"/>
    <n v="268.33"/>
    <n v="70.16"/>
  </r>
  <r>
    <s v="ORD-039"/>
    <x v="34"/>
    <x v="2"/>
    <x v="1"/>
    <x v="8"/>
    <x v="1"/>
    <n v="8"/>
    <n v="57.89"/>
    <x v="1"/>
    <n v="453.86"/>
    <n v="383.07"/>
    <n v="70.790000000000006"/>
  </r>
  <r>
    <s v="ORD-040"/>
    <x v="35"/>
    <x v="0"/>
    <x v="2"/>
    <x v="6"/>
    <x v="1"/>
    <n v="7"/>
    <n v="24.55"/>
    <x v="0"/>
    <n v="146.07"/>
    <n v="98.45"/>
    <n v="47.62"/>
  </r>
  <r>
    <s v="ORD-041"/>
    <x v="36"/>
    <x v="2"/>
    <x v="4"/>
    <x v="0"/>
    <x v="0"/>
    <n v="7"/>
    <n v="628.1"/>
    <x v="0"/>
    <n v="3737.19"/>
    <n v="3557.34"/>
    <n v="179.85"/>
  </r>
  <r>
    <s v="ORD-042"/>
    <x v="37"/>
    <x v="0"/>
    <x v="4"/>
    <x v="0"/>
    <x v="0"/>
    <n v="2"/>
    <n v="632.80999999999904"/>
    <x v="4"/>
    <n v="1164.3699999999999"/>
    <n v="985.02"/>
    <n v="179.35"/>
  </r>
  <r>
    <s v="ORD-043"/>
    <x v="38"/>
    <x v="1"/>
    <x v="7"/>
    <x v="9"/>
    <x v="1"/>
    <n v="6"/>
    <n v="81.77"/>
    <x v="2"/>
    <n v="490.62"/>
    <n v="420.27"/>
    <n v="70.349999999999895"/>
  </r>
  <r>
    <s v="ORD-044"/>
    <x v="39"/>
    <x v="1"/>
    <x v="5"/>
    <x v="9"/>
    <x v="1"/>
    <n v="10"/>
    <n v="82.459999999999894"/>
    <x v="3"/>
    <n v="783.37"/>
    <n v="509.11"/>
    <n v="274.26"/>
  </r>
  <r>
    <s v="ORD-045"/>
    <x v="39"/>
    <x v="2"/>
    <x v="3"/>
    <x v="0"/>
    <x v="0"/>
    <n v="2"/>
    <n v="681.94"/>
    <x v="3"/>
    <n v="1295.69"/>
    <n v="1078.04"/>
    <n v="217.65"/>
  </r>
  <r>
    <s v="ORD-046"/>
    <x v="40"/>
    <x v="4"/>
    <x v="1"/>
    <x v="2"/>
    <x v="0"/>
    <n v="15"/>
    <n v="190.8"/>
    <x v="6"/>
    <n v="2575.8000000000002"/>
    <n v="1781.52"/>
    <n v="794.28"/>
  </r>
  <r>
    <s v="ORD-047"/>
    <x v="41"/>
    <x v="2"/>
    <x v="1"/>
    <x v="3"/>
    <x v="1"/>
    <n v="13"/>
    <n v="49.62"/>
    <x v="4"/>
    <n v="593.46"/>
    <n v="360.06"/>
    <n v="233.4"/>
  </r>
  <r>
    <s v="ORD-048"/>
    <x v="42"/>
    <x v="0"/>
    <x v="3"/>
    <x v="2"/>
    <x v="0"/>
    <n v="8"/>
    <n v="165.49"/>
    <x v="3"/>
    <n v="1257.72"/>
    <n v="830.6"/>
    <n v="427.12"/>
  </r>
  <r>
    <s v="ORD-049"/>
    <x v="43"/>
    <x v="2"/>
    <x v="0"/>
    <x v="8"/>
    <x v="1"/>
    <n v="4"/>
    <n v="58.09"/>
    <x v="4"/>
    <n v="213.77"/>
    <n v="130.02000000000001"/>
    <n v="83.75"/>
  </r>
  <r>
    <s v="ORD-050"/>
    <x v="44"/>
    <x v="1"/>
    <x v="3"/>
    <x v="8"/>
    <x v="1"/>
    <n v="1"/>
    <n v="65.239999999999895"/>
    <x v="2"/>
    <n v="65.239999999999895"/>
    <n v="57.41"/>
    <n v="7.83"/>
  </r>
  <r>
    <s v="ORD-051"/>
    <x v="45"/>
    <x v="2"/>
    <x v="5"/>
    <x v="1"/>
    <x v="0"/>
    <n v="9"/>
    <n v="345.08"/>
    <x v="5"/>
    <n v="2733.03"/>
    <n v="2272.23"/>
    <n v="460.8"/>
  </r>
  <r>
    <s v="ORD-052"/>
    <x v="46"/>
    <x v="1"/>
    <x v="5"/>
    <x v="2"/>
    <x v="0"/>
    <n v="8"/>
    <n v="190.61"/>
    <x v="3"/>
    <n v="1448.64"/>
    <n v="920.53"/>
    <n v="528.11"/>
  </r>
  <r>
    <s v="ORD-053"/>
    <x v="47"/>
    <x v="2"/>
    <x v="0"/>
    <x v="0"/>
    <x v="0"/>
    <n v="14"/>
    <n v="653.26"/>
    <x v="4"/>
    <n v="8413.99"/>
    <n v="5348.62"/>
    <n v="3065.37"/>
  </r>
  <r>
    <s v="ORD-054"/>
    <x v="47"/>
    <x v="1"/>
    <x v="3"/>
    <x v="5"/>
    <x v="0"/>
    <n v="9"/>
    <n v="214.12"/>
    <x v="5"/>
    <n v="1695.83"/>
    <n v="1453.23"/>
    <n v="242.6"/>
  </r>
  <r>
    <s v="ORD-055"/>
    <x v="48"/>
    <x v="4"/>
    <x v="6"/>
    <x v="9"/>
    <x v="1"/>
    <n v="13"/>
    <n v="72.819999999999894"/>
    <x v="6"/>
    <n v="851.99"/>
    <n v="654.49"/>
    <n v="197.5"/>
  </r>
  <r>
    <s v="ORD-056"/>
    <x v="48"/>
    <x v="1"/>
    <x v="2"/>
    <x v="5"/>
    <x v="0"/>
    <n v="15"/>
    <n v="236.01"/>
    <x v="1"/>
    <n v="3469.35"/>
    <n v="2584.4699999999998"/>
    <n v="884.88"/>
  </r>
  <r>
    <s v="ORD-057"/>
    <x v="49"/>
    <x v="1"/>
    <x v="7"/>
    <x v="2"/>
    <x v="0"/>
    <n v="14"/>
    <n v="190.75"/>
    <x v="6"/>
    <n v="2403.4499999999998"/>
    <n v="1644.07"/>
    <n v="759.38"/>
  </r>
  <r>
    <s v="ORD-058"/>
    <x v="50"/>
    <x v="2"/>
    <x v="1"/>
    <x v="9"/>
    <x v="1"/>
    <n v="1"/>
    <n v="90.58"/>
    <x v="6"/>
    <n v="81.52"/>
    <n v="70.069999999999894"/>
    <n v="11.45"/>
  </r>
  <r>
    <s v="ORD-059"/>
    <x v="51"/>
    <x v="0"/>
    <x v="1"/>
    <x v="4"/>
    <x v="2"/>
    <n v="3"/>
    <n v="312.68"/>
    <x v="1"/>
    <n v="919.28"/>
    <n v="531.49"/>
    <n v="387.79"/>
  </r>
  <r>
    <s v="ORD-060"/>
    <x v="51"/>
    <x v="0"/>
    <x v="7"/>
    <x v="8"/>
    <x v="1"/>
    <n v="4"/>
    <n v="65.260000000000005"/>
    <x v="6"/>
    <n v="234.94"/>
    <n v="196.15"/>
    <n v="38.79"/>
  </r>
  <r>
    <s v="ORD-061"/>
    <x v="51"/>
    <x v="2"/>
    <x v="4"/>
    <x v="9"/>
    <x v="1"/>
    <n v="10"/>
    <n v="87.81"/>
    <x v="1"/>
    <n v="860.54"/>
    <n v="707.73"/>
    <n v="152.81"/>
  </r>
  <r>
    <s v="ORD-062"/>
    <x v="52"/>
    <x v="2"/>
    <x v="2"/>
    <x v="4"/>
    <x v="2"/>
    <n v="15"/>
    <n v="296.08"/>
    <x v="1"/>
    <n v="4352.38"/>
    <n v="3495.46"/>
    <n v="856.92"/>
  </r>
  <r>
    <s v="ORD-063"/>
    <x v="53"/>
    <x v="2"/>
    <x v="1"/>
    <x v="9"/>
    <x v="1"/>
    <n v="7"/>
    <n v="81.540000000000006"/>
    <x v="3"/>
    <n v="542.24"/>
    <n v="370.17"/>
    <n v="172.07"/>
  </r>
  <r>
    <s v="ORD-064"/>
    <x v="54"/>
    <x v="4"/>
    <x v="3"/>
    <x v="8"/>
    <x v="1"/>
    <n v="15"/>
    <n v="55.91"/>
    <x v="6"/>
    <n v="754.78"/>
    <n v="609.08000000000004"/>
    <n v="145.69999999999999"/>
  </r>
  <r>
    <s v="ORD-065"/>
    <x v="55"/>
    <x v="0"/>
    <x v="4"/>
    <x v="1"/>
    <x v="0"/>
    <n v="13"/>
    <n v="378.87"/>
    <x v="1"/>
    <n v="4826.8"/>
    <n v="3867.71"/>
    <n v="959.09"/>
  </r>
  <r>
    <s v="ORD-066"/>
    <x v="56"/>
    <x v="1"/>
    <x v="1"/>
    <x v="6"/>
    <x v="1"/>
    <n v="11"/>
    <n v="23.14"/>
    <x v="0"/>
    <n v="216.36"/>
    <n v="187.03"/>
    <n v="29.33"/>
  </r>
  <r>
    <s v="ORD-067"/>
    <x v="57"/>
    <x v="0"/>
    <x v="3"/>
    <x v="8"/>
    <x v="1"/>
    <n v="6"/>
    <n v="59.06"/>
    <x v="4"/>
    <n v="326.01"/>
    <n v="227.44"/>
    <n v="98.569999999999894"/>
  </r>
  <r>
    <s v="ORD-068"/>
    <x v="57"/>
    <x v="2"/>
    <x v="7"/>
    <x v="4"/>
    <x v="2"/>
    <n v="6"/>
    <n v="289.98"/>
    <x v="4"/>
    <n v="1600.69"/>
    <n v="992.67999999999904"/>
    <n v="608.01"/>
  </r>
  <r>
    <s v="ORD-069"/>
    <x v="58"/>
    <x v="0"/>
    <x v="2"/>
    <x v="8"/>
    <x v="1"/>
    <n v="13"/>
    <n v="60.11"/>
    <x v="2"/>
    <n v="781.42999999999904"/>
    <n v="454.78"/>
    <n v="326.64999999999998"/>
  </r>
  <r>
    <s v="ORD-070"/>
    <x v="59"/>
    <x v="4"/>
    <x v="1"/>
    <x v="4"/>
    <x v="2"/>
    <n v="15"/>
    <n v="292.36"/>
    <x v="3"/>
    <n v="4166.13"/>
    <n v="2476.21"/>
    <n v="1689.92"/>
  </r>
  <r>
    <s v="ORD-071"/>
    <x v="60"/>
    <x v="4"/>
    <x v="2"/>
    <x v="7"/>
    <x v="2"/>
    <n v="14"/>
    <n v="147.9"/>
    <x v="3"/>
    <n v="1967.07"/>
    <n v="1690.34"/>
    <n v="276.73"/>
  </r>
  <r>
    <s v="ORD-072"/>
    <x v="61"/>
    <x v="0"/>
    <x v="6"/>
    <x v="3"/>
    <x v="1"/>
    <n v="8"/>
    <n v="48.03"/>
    <x v="6"/>
    <n v="345.82"/>
    <n v="331.51"/>
    <n v="14.31"/>
  </r>
  <r>
    <s v="ORD-073"/>
    <x v="62"/>
    <x v="0"/>
    <x v="7"/>
    <x v="4"/>
    <x v="2"/>
    <n v="10"/>
    <n v="256.45"/>
    <x v="4"/>
    <n v="2359.34"/>
    <n v="1914.77"/>
    <n v="444.57"/>
  </r>
  <r>
    <s v="ORD-074"/>
    <x v="63"/>
    <x v="4"/>
    <x v="0"/>
    <x v="6"/>
    <x v="1"/>
    <n v="15"/>
    <n v="26.05"/>
    <x v="2"/>
    <n v="390.75"/>
    <n v="225.96"/>
    <n v="164.79"/>
  </r>
  <r>
    <s v="ORD-075"/>
    <x v="64"/>
    <x v="0"/>
    <x v="0"/>
    <x v="9"/>
    <x v="1"/>
    <n v="10"/>
    <n v="91.92"/>
    <x v="2"/>
    <n v="919.2"/>
    <n v="668.64"/>
    <n v="250.56"/>
  </r>
  <r>
    <s v="ORD-076"/>
    <x v="65"/>
    <x v="0"/>
    <x v="3"/>
    <x v="6"/>
    <x v="1"/>
    <n v="12"/>
    <n v="25.53"/>
    <x v="5"/>
    <n v="269.60000000000002"/>
    <n v="228.1"/>
    <n v="41.5"/>
  </r>
  <r>
    <s v="ORD-077"/>
    <x v="66"/>
    <x v="2"/>
    <x v="1"/>
    <x v="3"/>
    <x v="1"/>
    <n v="11"/>
    <n v="45.85"/>
    <x v="6"/>
    <n v="453.92"/>
    <n v="304.88"/>
    <n v="149.04"/>
  </r>
  <r>
    <s v="ORD-078"/>
    <x v="67"/>
    <x v="1"/>
    <x v="7"/>
    <x v="0"/>
    <x v="0"/>
    <n v="1"/>
    <n v="679.92999999999904"/>
    <x v="6"/>
    <n v="611.94000000000005"/>
    <n v="580.25"/>
    <n v="31.69"/>
  </r>
  <r>
    <s v="ORD-079"/>
    <x v="68"/>
    <x v="2"/>
    <x v="4"/>
    <x v="4"/>
    <x v="2"/>
    <n v="3"/>
    <n v="303.37"/>
    <x v="5"/>
    <n v="800.9"/>
    <n v="581.67999999999904"/>
    <n v="219.22"/>
  </r>
  <r>
    <s v="ORD-080"/>
    <x v="69"/>
    <x v="4"/>
    <x v="6"/>
    <x v="3"/>
    <x v="1"/>
    <n v="4"/>
    <n v="43.84"/>
    <x v="2"/>
    <n v="175.36"/>
    <n v="129.96"/>
    <n v="45.4"/>
  </r>
  <r>
    <s v="ORD-081"/>
    <x v="70"/>
    <x v="2"/>
    <x v="0"/>
    <x v="9"/>
    <x v="1"/>
    <n v="14"/>
    <n v="86.39"/>
    <x v="6"/>
    <n v="1088.51"/>
    <n v="835.52"/>
    <n v="252.99"/>
  </r>
  <r>
    <s v="ORD-082"/>
    <x v="71"/>
    <x v="0"/>
    <x v="3"/>
    <x v="9"/>
    <x v="1"/>
    <n v="13"/>
    <n v="85.08"/>
    <x v="2"/>
    <n v="1106.04"/>
    <n v="852.09"/>
    <n v="253.95"/>
  </r>
  <r>
    <s v="ORD-083"/>
    <x v="72"/>
    <x v="1"/>
    <x v="3"/>
    <x v="3"/>
    <x v="1"/>
    <n v="13"/>
    <n v="51.28"/>
    <x v="6"/>
    <n v="599.98"/>
    <n v="468.85"/>
    <n v="131.13"/>
  </r>
  <r>
    <s v="ORD-084"/>
    <x v="73"/>
    <x v="0"/>
    <x v="4"/>
    <x v="8"/>
    <x v="1"/>
    <n v="3"/>
    <n v="66.02"/>
    <x v="5"/>
    <n v="174.29"/>
    <n v="143.65"/>
    <n v="30.64"/>
  </r>
  <r>
    <s v="ORD-085"/>
    <x v="74"/>
    <x v="4"/>
    <x v="3"/>
    <x v="2"/>
    <x v="0"/>
    <n v="3"/>
    <n v="195.36"/>
    <x v="6"/>
    <n v="527.47"/>
    <n v="458.82"/>
    <n v="68.650000000000006"/>
  </r>
  <r>
    <s v="ORD-086"/>
    <x v="75"/>
    <x v="0"/>
    <x v="1"/>
    <x v="0"/>
    <x v="0"/>
    <n v="13"/>
    <n v="636.26"/>
    <x v="3"/>
    <n v="7857.81"/>
    <n v="4729.92"/>
    <n v="3127.89"/>
  </r>
  <r>
    <s v="ORD-087"/>
    <x v="76"/>
    <x v="4"/>
    <x v="0"/>
    <x v="8"/>
    <x v="1"/>
    <n v="2"/>
    <n v="66.33"/>
    <x v="4"/>
    <n v="122.05"/>
    <n v="94.489999999999895"/>
    <n v="27.56"/>
  </r>
  <r>
    <s v="ORD-088"/>
    <x v="77"/>
    <x v="0"/>
    <x v="4"/>
    <x v="1"/>
    <x v="0"/>
    <n v="14"/>
    <n v="315.04000000000002"/>
    <x v="3"/>
    <n v="4190.03"/>
    <n v="2731.73"/>
    <n v="1458.3"/>
  </r>
  <r>
    <s v="ORD-089"/>
    <x v="78"/>
    <x v="2"/>
    <x v="6"/>
    <x v="1"/>
    <x v="0"/>
    <n v="9"/>
    <n v="337.99"/>
    <x v="6"/>
    <n v="2737.72"/>
    <n v="2103.13"/>
    <n v="634.59"/>
  </r>
  <r>
    <s v="ORD-090"/>
    <x v="79"/>
    <x v="4"/>
    <x v="4"/>
    <x v="6"/>
    <x v="1"/>
    <n v="3"/>
    <n v="22.65"/>
    <x v="1"/>
    <n v="66.59"/>
    <n v="59.44"/>
    <n v="7.15"/>
  </r>
  <r>
    <s v="ORD-091"/>
    <x v="80"/>
    <x v="4"/>
    <x v="2"/>
    <x v="5"/>
    <x v="0"/>
    <n v="15"/>
    <n v="229.33"/>
    <x v="6"/>
    <n v="3095.96"/>
    <n v="2566.86"/>
    <n v="529.1"/>
  </r>
  <r>
    <s v="ORD-092"/>
    <x v="81"/>
    <x v="0"/>
    <x v="3"/>
    <x v="7"/>
    <x v="2"/>
    <n v="7"/>
    <n v="137.62"/>
    <x v="5"/>
    <n v="847.74"/>
    <n v="822.55"/>
    <n v="25.19"/>
  </r>
  <r>
    <s v="ORD-093"/>
    <x v="82"/>
    <x v="2"/>
    <x v="3"/>
    <x v="0"/>
    <x v="0"/>
    <n v="1"/>
    <n v="674.92"/>
    <x v="5"/>
    <n v="593.92999999999904"/>
    <n v="581.48"/>
    <n v="12.45"/>
  </r>
  <r>
    <s v="ORD-094"/>
    <x v="83"/>
    <x v="0"/>
    <x v="3"/>
    <x v="5"/>
    <x v="0"/>
    <n v="11"/>
    <n v="246.66"/>
    <x v="0"/>
    <n v="2306.27"/>
    <n v="1731.2"/>
    <n v="575.07000000000005"/>
  </r>
  <r>
    <s v="ORD-095"/>
    <x v="84"/>
    <x v="4"/>
    <x v="7"/>
    <x v="4"/>
    <x v="2"/>
    <n v="8"/>
    <n v="312.47000000000003"/>
    <x v="2"/>
    <n v="2499.7600000000002"/>
    <n v="1930.34"/>
    <n v="569.41999999999996"/>
  </r>
  <r>
    <s v="ORD-096"/>
    <x v="84"/>
    <x v="2"/>
    <x v="4"/>
    <x v="4"/>
    <x v="2"/>
    <n v="8"/>
    <n v="290.86"/>
    <x v="1"/>
    <n v="2280.34"/>
    <n v="1810.08"/>
    <n v="470.26"/>
  </r>
  <r>
    <s v="ORD-097"/>
    <x v="85"/>
    <x v="1"/>
    <x v="2"/>
    <x v="1"/>
    <x v="0"/>
    <n v="2"/>
    <n v="389.49"/>
    <x v="2"/>
    <n v="778.98"/>
    <n v="581.4"/>
    <n v="197.58"/>
  </r>
  <r>
    <s v="ORD-098"/>
    <x v="86"/>
    <x v="0"/>
    <x v="3"/>
    <x v="5"/>
    <x v="0"/>
    <n v="10"/>
    <n v="235.98"/>
    <x v="5"/>
    <n v="2076.62"/>
    <n v="1487.01"/>
    <n v="589.61"/>
  </r>
  <r>
    <s v="ORD-099"/>
    <x v="86"/>
    <x v="0"/>
    <x v="0"/>
    <x v="2"/>
    <x v="0"/>
    <n v="9"/>
    <n v="175.92"/>
    <x v="4"/>
    <n v="1456.62"/>
    <n v="1041.23"/>
    <n v="415.39"/>
  </r>
  <r>
    <s v="ORD-100"/>
    <x v="87"/>
    <x v="1"/>
    <x v="5"/>
    <x v="6"/>
    <x v="1"/>
    <n v="5"/>
    <n v="23.92"/>
    <x v="1"/>
    <n v="117.21"/>
    <n v="77.709999999999894"/>
    <n v="3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636FFD-9349-4323-8C21-C86C452D2A8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B11" firstHeaderRow="1" firstDataRow="1" firstDataCol="1"/>
  <pivotFields count="14">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axis="axisRow" showAll="0">
      <items count="6">
        <item x="0"/>
        <item x="4"/>
        <item x="3"/>
        <item x="1"/>
        <item x="2"/>
        <item t="default"/>
      </items>
    </pivotField>
    <pivotField showAll="0"/>
    <pivotField showAll="0"/>
    <pivotField showAll="0">
      <items count="4">
        <item x="1"/>
        <item x="0"/>
        <item x="2"/>
        <item t="default"/>
      </items>
    </pivotField>
    <pivotField showAll="0"/>
    <pivotField numFmtId="2" showAll="0"/>
    <pivotField numFmtId="9" showAll="0"/>
    <pivotField dataField="1"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ales" fld="9" baseField="0" baseItem="0" numFmtId="2"/>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filters count="1">
    <filter fld="1" type="dateBetween" evalOrder="-1" id="110"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BC16C6-D845-49C9-80FA-2985DA3EC0F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5:F9" firstHeaderRow="1" firstDataRow="1" firstDataCol="1"/>
  <pivotFields count="14">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axis="axisRow" showAll="0">
      <items count="4">
        <item x="1"/>
        <item x="0"/>
        <item x="2"/>
        <item t="default"/>
      </items>
    </pivotField>
    <pivotField showAll="0"/>
    <pivotField numFmtId="2" showAll="0"/>
    <pivotField numFmtId="9" showAll="0"/>
    <pivotField numFmtId="2" showAll="0"/>
    <pivotField numFmtId="2"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Sum of Profit" fld="11" baseField="0" baseItem="0" numFmtId="2"/>
  </dataFields>
  <formats count="6">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fieldPosition="0">
        <references count="1">
          <reference field="5"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filters count="1">
    <filter fld="1" type="dateBetween" evalOrder="-1" id="110"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7C6871-9296-42D7-8F94-4DFEE8A1F95C}"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2:E13" firstHeaderRow="1" firstDataRow="1" firstDataCol="0"/>
  <pivotFields count="14">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items count="4">
        <item x="1"/>
        <item x="0"/>
        <item x="2"/>
        <item t="default"/>
      </items>
    </pivotField>
    <pivotField showAll="0"/>
    <pivotField numFmtId="2" showAll="0"/>
    <pivotField numFmtId="9" showAll="0"/>
    <pivotField dataField="1" numFmtId="2" showAll="0"/>
    <pivotField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Sales" fld="9" baseField="0" baseItem="0" numFmtId="2"/>
  </dataFields>
  <pivotTableStyleInfo name="PivotStyleLight16" showRowHeaders="1" showColHeaders="1" showRowStripes="0" showColStripes="0" showLastColumn="1"/>
  <filters count="1">
    <filter fld="1" type="dateBetween" evalOrder="-1" id="55"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C081F6-6AFD-417B-AB13-7D7911FCD05C}"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6:G17" firstHeaderRow="1" firstDataRow="1" firstDataCol="0"/>
  <pivotFields count="14">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items count="4">
        <item x="1"/>
        <item x="0"/>
        <item x="2"/>
        <item t="default"/>
      </items>
    </pivotField>
    <pivotField dataField="1" showAll="0"/>
    <pivotField numFmtId="2" showAll="0"/>
    <pivotField numFmtId="9" showAll="0"/>
    <pivotField numFmtId="2" showAll="0"/>
    <pivotField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6" baseField="0" baseItem="0"/>
  </dataFields>
  <pivotTableStyleInfo name="PivotStyleLight16" showRowHeaders="1" showColHeaders="1" showRowStripes="0" showColStripes="0" showLastColumn="1"/>
  <filters count="1">
    <filter fld="1" type="dateBetween" evalOrder="-1" id="55"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C008D9-BB4D-44CA-8974-E2C85E6D3972}" name="PivotTable1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A14" firstHeaderRow="0" firstDataRow="0" firstDataCol="0"/>
  <pivotFields count="14">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axis="axisRow" showAll="0">
      <items count="11">
        <item x="4"/>
        <item x="8"/>
        <item x="3"/>
        <item x="0"/>
        <item x="5"/>
        <item x="6"/>
        <item x="7"/>
        <item x="2"/>
        <item x="1"/>
        <item x="9"/>
        <item t="default"/>
      </items>
    </pivotField>
    <pivotField showAll="0">
      <items count="4">
        <item x="1"/>
        <item x="0"/>
        <item x="2"/>
        <item t="default"/>
      </items>
    </pivotField>
    <pivotField showAll="0"/>
    <pivotField numFmtId="2" showAll="0"/>
    <pivotField numFmtId="9" showAll="0"/>
    <pivotField numFmtId="2" showAll="0"/>
    <pivotField dataField="1" numFmtId="2"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Sum of Cost" fld="10" baseField="0" baseItem="0" numFmtId="2"/>
    <dataField name="Sum of Profit" fld="11" baseField="0" baseItem="0" numFmtId="2"/>
  </dataFields>
  <pivotTableStyleInfo name="PivotStyleLight16" showRowHeaders="1" showColHeaders="1" showRowStripes="0" showColStripes="0" showLastColumn="1"/>
  <filters count="1">
    <filter fld="1" type="dateBetween" evalOrder="-1" id="110"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994947-9047-4FEA-BF86-D0775A1AF7AE}"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6:E17" firstHeaderRow="1" firstDataRow="1" firstDataCol="0"/>
  <pivotFields count="14">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items count="4">
        <item x="1"/>
        <item x="0"/>
        <item x="2"/>
        <item t="default"/>
      </items>
    </pivotField>
    <pivotField showAll="0"/>
    <pivotField numFmtId="2" showAll="0"/>
    <pivotField numFmtId="9" showAll="0"/>
    <pivotField numFmtId="2" showAll="0"/>
    <pivotField numFmtId="2"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fld="11" baseField="0" baseItem="0" numFmtId="2"/>
  </dataFields>
  <pivotTableStyleInfo name="PivotStyleLight16" showRowHeaders="1" showColHeaders="1" showRowStripes="0" showColStripes="0" showLastColumn="1"/>
  <filters count="1">
    <filter fld="1" type="dateBetween" evalOrder="-1" id="55"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348B5D-BFB8-42B4-BAA4-73E64F0C8DAA}"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2:G13" firstHeaderRow="1" firstDataRow="1" firstDataCol="0"/>
  <pivotFields count="14">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items count="4">
        <item x="1"/>
        <item x="0"/>
        <item x="2"/>
        <item t="default"/>
      </items>
    </pivotField>
    <pivotField showAll="0"/>
    <pivotField numFmtId="2" showAll="0"/>
    <pivotField numFmtId="9" showAll="0"/>
    <pivotField numFmtId="2" showAll="0"/>
    <pivotField dataField="1"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Cost" fld="10" baseField="0" baseItem="0" numFmtId="2"/>
  </dataFields>
  <pivotTableStyleInfo name="PivotStyleLight16" showRowHeaders="1" showColHeaders="1" showRowStripes="0" showColStripes="0" showLastColumn="1"/>
  <filters count="1">
    <filter fld="1" type="dateBetween" evalOrder="-1" id="55"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118713-90E2-4449-88CC-9ED4EB84CBE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21:B32" firstHeaderRow="1" firstDataRow="1" firstDataCol="1"/>
  <pivotFields count="14">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axis="axisRow" showAll="0">
      <items count="11">
        <item x="4"/>
        <item x="8"/>
        <item x="3"/>
        <item x="0"/>
        <item x="5"/>
        <item x="6"/>
        <item x="7"/>
        <item x="2"/>
        <item x="1"/>
        <item x="9"/>
        <item t="default"/>
      </items>
    </pivotField>
    <pivotField showAll="0">
      <items count="4">
        <item x="1"/>
        <item x="0"/>
        <item x="2"/>
        <item t="default"/>
      </items>
    </pivotField>
    <pivotField showAll="0"/>
    <pivotField dataField="1" numFmtId="2" showAll="0"/>
    <pivotField numFmtId="9" showAll="0"/>
    <pivotField numFmtId="2" showAll="0"/>
    <pivotField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i>
    <i>
      <x v="1"/>
    </i>
    <i>
      <x v="2"/>
    </i>
    <i>
      <x v="3"/>
    </i>
    <i>
      <x v="4"/>
    </i>
    <i>
      <x v="5"/>
    </i>
    <i>
      <x v="6"/>
    </i>
    <i>
      <x v="7"/>
    </i>
    <i>
      <x v="8"/>
    </i>
    <i>
      <x v="9"/>
    </i>
    <i t="grand">
      <x/>
    </i>
  </rowItems>
  <colItems count="1">
    <i/>
  </colItems>
  <dataFields count="1">
    <dataField name="Sum of Unit Price" fld="7" baseField="0" baseItem="0" numFmtId="2"/>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42"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BECC61-6E80-48E0-9F89-297C7FC755B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I5:J18" firstHeaderRow="1" firstDataRow="1" firstDataCol="1"/>
  <pivotFields count="14">
    <pivotField showAll="0"/>
    <pivotField axis="axisRow"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items count="4">
        <item x="1"/>
        <item x="0"/>
        <item x="2"/>
        <item t="default"/>
      </items>
    </pivotField>
    <pivotField showAll="0"/>
    <pivotField numFmtId="2" showAll="0"/>
    <pivotField numFmtId="9" showAll="0"/>
    <pivotField dataField="1" numFmtId="2" showAll="0"/>
    <pivotField numFmtId="2" showAll="0"/>
    <pivotField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3"/>
    <field x="1"/>
  </rowFields>
  <rowItems count="13">
    <i>
      <x v="1"/>
    </i>
    <i>
      <x v="2"/>
    </i>
    <i>
      <x v="3"/>
    </i>
    <i>
      <x v="4"/>
    </i>
    <i>
      <x v="5"/>
    </i>
    <i>
      <x v="6"/>
    </i>
    <i>
      <x v="7"/>
    </i>
    <i>
      <x v="8"/>
    </i>
    <i>
      <x v="9"/>
    </i>
    <i>
      <x v="10"/>
    </i>
    <i>
      <x v="11"/>
    </i>
    <i>
      <x v="12"/>
    </i>
    <i t="grand">
      <x/>
    </i>
  </rowItems>
  <colItems count="1">
    <i/>
  </colItems>
  <dataFields count="1">
    <dataField name="Sum of Sales" fld="9" baseField="0" baseItem="0" numFmtId="2"/>
  </dataFields>
  <formats count="6">
    <format dxfId="17">
      <pivotArea type="all" dataOnly="0" outline="0" fieldPosition="0"/>
    </format>
    <format dxfId="16">
      <pivotArea outline="0" collapsedLevelsAreSubtotals="1" fieldPosition="0"/>
    </format>
    <format dxfId="15">
      <pivotArea field="13" type="button" dataOnly="0" labelOnly="1" outline="0" axis="axisRow" fieldPosition="0"/>
    </format>
    <format dxfId="14">
      <pivotArea dataOnly="0" labelOnly="1" fieldPosition="0">
        <references count="1">
          <reference field="13" count="12">
            <x v="1"/>
            <x v="2"/>
            <x v="3"/>
            <x v="4"/>
            <x v="5"/>
            <x v="6"/>
            <x v="7"/>
            <x v="8"/>
            <x v="9"/>
            <x v="10"/>
            <x v="11"/>
            <x v="12"/>
          </reference>
        </references>
      </pivotArea>
    </format>
    <format dxfId="13">
      <pivotArea dataOnly="0" labelOnly="1" grandRow="1" outline="0" fieldPosition="0"/>
    </format>
    <format dxfId="12">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6"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022E34-B4EC-44B8-98D9-F71AD6046550}"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M5:N14" firstHeaderRow="1" firstDataRow="1" firstDataCol="1"/>
  <pivotFields count="14">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axis="axisRow" showAll="0">
      <items count="9">
        <item x="7"/>
        <item x="2"/>
        <item x="5"/>
        <item x="4"/>
        <item x="6"/>
        <item x="1"/>
        <item x="0"/>
        <item x="3"/>
        <item t="default"/>
      </items>
    </pivotField>
    <pivotField showAll="0"/>
    <pivotField showAll="0">
      <items count="4">
        <item x="1"/>
        <item x="0"/>
        <item x="2"/>
        <item t="default"/>
      </items>
    </pivotField>
    <pivotField showAll="0"/>
    <pivotField numFmtId="2" showAll="0"/>
    <pivotField numFmtId="9" showAll="0"/>
    <pivotField dataField="1" numFmtId="2" showAll="0"/>
    <pivotField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9">
    <i>
      <x/>
    </i>
    <i>
      <x v="1"/>
    </i>
    <i>
      <x v="2"/>
    </i>
    <i>
      <x v="3"/>
    </i>
    <i>
      <x v="4"/>
    </i>
    <i>
      <x v="5"/>
    </i>
    <i>
      <x v="6"/>
    </i>
    <i>
      <x v="7"/>
    </i>
    <i t="grand">
      <x/>
    </i>
  </rowItems>
  <colItems count="1">
    <i/>
  </colItems>
  <dataFields count="1">
    <dataField name="Sum of Sales" fld="9" baseField="0" baseItem="0" numFmtId="2"/>
  </dataFields>
  <formats count="6">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grandRow="1" outline="0" fieldPosition="0"/>
    </format>
    <format dxfId="18">
      <pivotArea dataOnly="0" labelOnly="1" outline="0" axis="axisValues" fieldPosition="0"/>
    </format>
  </formats>
  <chartFormats count="10">
    <chartFormat chart="0"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5"/>
          </reference>
        </references>
      </pivotArea>
    </chartFormat>
    <chartFormat chart="2" format="6">
      <pivotArea type="data" outline="0" fieldPosition="0">
        <references count="2">
          <reference field="4294967294" count="1" selected="0">
            <x v="0"/>
          </reference>
          <reference field="3" count="1" selected="0">
            <x v="7"/>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4"/>
          </reference>
        </references>
      </pivotArea>
    </chartFormat>
    <chartFormat chart="2" format="9">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1" type="dateBetween" evalOrder="-1" id="110"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79BE0B-EAD0-41D5-B78C-F506DACB012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5:C28" firstHeaderRow="1" firstDataRow="1" firstDataCol="1"/>
  <pivotFields count="14">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items count="4">
        <item x="1"/>
        <item x="0"/>
        <item x="2"/>
        <item t="default"/>
      </items>
    </pivotField>
    <pivotField showAll="0"/>
    <pivotField numFmtId="2" showAll="0"/>
    <pivotField numFmtId="9" showAll="0"/>
    <pivotField dataField="1" numFmtId="2" showAll="0"/>
    <pivotField numFmtId="2" showAll="0"/>
    <pivotField numFmtId="2"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 fld="9" baseField="0" baseItem="0" numFmtId="2"/>
  </dataFields>
  <pivotTableStyleInfo name="PivotStyleLight16" showRowHeaders="1" showColHeaders="1" showRowStripes="0" showColStripes="0" showLastColumn="1"/>
  <filters count="1">
    <filter fld="1" type="dateBetween" evalOrder="-1" id="79"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AD1209-1769-4A86-A29F-6D735D057C9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5:J26" firstHeaderRow="0" firstDataRow="1" firstDataCol="1"/>
  <pivotFields count="14">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axis="axisRow" showAll="0">
      <items count="11">
        <item x="4"/>
        <item x="8"/>
        <item x="3"/>
        <item x="0"/>
        <item x="5"/>
        <item x="6"/>
        <item x="7"/>
        <item x="2"/>
        <item x="1"/>
        <item x="9"/>
        <item t="default"/>
      </items>
    </pivotField>
    <pivotField showAll="0">
      <items count="4">
        <item x="1"/>
        <item x="0"/>
        <item x="2"/>
        <item t="default"/>
      </items>
    </pivotField>
    <pivotField showAll="0"/>
    <pivotField numFmtId="2" showAll="0"/>
    <pivotField numFmtId="9" showAll="0"/>
    <pivotField numFmtId="2" showAll="0"/>
    <pivotField dataField="1" numFmtId="2"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Sum of Cost" fld="10" baseField="0" baseItem="0" numFmtId="2"/>
    <dataField name="Sum of Profit" fld="11" baseField="0" baseItem="0" numFmtId="2"/>
  </dataFields>
  <pivotTableStyleInfo name="PivotStyleLight16" showRowHeaders="1" showColHeaders="1" showRowStripes="0" showColStripes="0" showLastColumn="1"/>
  <filters count="1">
    <filter fld="1" type="dateBetween" evalOrder="-1" id="79"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51495B-2463-49B2-8189-BD2F2842A9C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5:F24" firstHeaderRow="1" firstDataRow="1" firstDataCol="1"/>
  <pivotFields count="14">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axis="axisRow" showAll="0">
      <items count="9">
        <item x="7"/>
        <item x="2"/>
        <item x="5"/>
        <item x="4"/>
        <item x="6"/>
        <item x="1"/>
        <item x="0"/>
        <item x="3"/>
        <item t="default"/>
      </items>
    </pivotField>
    <pivotField showAll="0"/>
    <pivotField showAll="0">
      <items count="4">
        <item x="1"/>
        <item x="0"/>
        <item x="2"/>
        <item t="default"/>
      </items>
    </pivotField>
    <pivotField showAll="0"/>
    <pivotField numFmtId="2" showAll="0"/>
    <pivotField numFmtId="9" showAll="0"/>
    <pivotField dataField="1" numFmtId="2" showAll="0"/>
    <pivotField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9">
    <i>
      <x/>
    </i>
    <i>
      <x v="1"/>
    </i>
    <i>
      <x v="2"/>
    </i>
    <i>
      <x v="3"/>
    </i>
    <i>
      <x v="4"/>
    </i>
    <i>
      <x v="5"/>
    </i>
    <i>
      <x v="6"/>
    </i>
    <i>
      <x v="7"/>
    </i>
    <i t="grand">
      <x/>
    </i>
  </rowItems>
  <colItems count="1">
    <i/>
  </colItems>
  <dataFields count="1">
    <dataField name="Sum of Sales" fld="9" baseField="0" baseItem="0" numFmtId="2"/>
  </dataFields>
  <pivotTableStyleInfo name="PivotStyleLight16" showRowHeaders="1" showColHeaders="1" showRowStripes="0" showColStripes="0" showLastColumn="1"/>
  <filters count="1">
    <filter fld="1" type="dateBetween" evalOrder="-1" id="79"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11</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CA56522-22F9-42F4-B108-284152F99FE9}" sourceName="Category">
  <pivotTables>
    <pivotTable tabId="5" name="PivotTable3"/>
    <pivotTable tabId="5" name="PivotTable4"/>
    <pivotTable tabId="5" name="PivotTable5"/>
    <pivotTable tabId="3" name="PivotTable1"/>
    <pivotTable tabId="3" name="PivotTable12"/>
    <pivotTable tabId="3" name="PivotTable13"/>
    <pivotTable tabId="3" name="PivotTable14"/>
    <pivotTable tabId="3" name="PivotTable15"/>
    <pivotTable tabId="3" name="PivotTable16"/>
    <pivotTable tabId="3" name="PivotTable2"/>
    <pivotTable tabId="3" name="PivotTable4"/>
    <pivotTable tabId="3" name="PivotTable5"/>
    <pivotTable tabId="3" name="PivotTable8"/>
  </pivotTables>
  <data>
    <tabular pivotCacheId="45974598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E97792D-695A-460F-9F6B-F62F45782958}"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10F012-0085-4B48-9183-1580EFD49DCA}" name="Table4" displayName="Table4" ref="A4:L104" totalsRowShown="0" headerRowDxfId="38" dataDxfId="37" tableBorderDxfId="36">
  <autoFilter ref="A4:L104" xr:uid="{5810F012-0085-4B48-9183-1580EFD49DCA}"/>
  <tableColumns count="12">
    <tableColumn id="1" xr3:uid="{B6C3714E-155B-4FB0-B94B-2FF6EA7B5094}" name="Order ID" dataDxfId="35"/>
    <tableColumn id="2" xr3:uid="{0263E43F-89CB-487A-8472-F8EC41BBCD92}" name="Date" dataDxfId="34"/>
    <tableColumn id="3" xr3:uid="{54323980-0435-4CA5-B672-BD318821D063}" name="Region" dataDxfId="33"/>
    <tableColumn id="4" xr3:uid="{92E72353-0D4F-4BFA-8403-32EC6C2E004F}" name="Salesperson" dataDxfId="32"/>
    <tableColumn id="5" xr3:uid="{06098B4B-DB0E-41C3-9B20-9AA4E5F5855C}" name="Product" dataDxfId="31"/>
    <tableColumn id="6" xr3:uid="{4F9B6EA3-B3C1-448E-A0E2-9570B8084E70}" name="Category" dataDxfId="30"/>
    <tableColumn id="7" xr3:uid="{05D69083-099D-4281-8F80-1CC098EBAD9F}" name="Quantity" dataDxfId="29"/>
    <tableColumn id="8" xr3:uid="{4040CBFE-C124-405F-8F6E-974B16990CCD}" name="Unit Price" dataDxfId="28"/>
    <tableColumn id="9" xr3:uid="{97E93056-380B-477E-B99D-C58D0F605625}" name="Discount %" dataDxfId="27"/>
    <tableColumn id="10" xr3:uid="{C9CDD3C3-1537-4625-ACA1-DAA86B103305}" name="Sales" dataDxfId="26"/>
    <tableColumn id="11" xr3:uid="{1D4F96F0-FE9E-4680-84A0-3364E9CB4116}" name="Cost" dataDxfId="25"/>
    <tableColumn id="12" xr3:uid="{80D7A267-8DCE-406A-9C80-4F69EABFC474}" name="Profit" dataDxf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AA6A6BB-538B-4AB0-822B-78A8A3513ECE}" sourceName="Date">
  <pivotTables>
    <pivotTable tabId="5" name="PivotTable3"/>
    <pivotTable tabId="5" name="PivotTable4"/>
    <pivotTable tabId="5" name="PivotTable5"/>
    <pivotTable tabId="3" name="PivotTable1"/>
    <pivotTable tabId="3" name="PivotTable12"/>
    <pivotTable tabId="3" name="PivotTable13"/>
    <pivotTable tabId="3" name="PivotTable14"/>
    <pivotTable tabId="3" name="PivotTable15"/>
    <pivotTable tabId="3" name="PivotTable16"/>
    <pivotTable tabId="3" name="PivotTable2"/>
    <pivotTable tabId="3" name="PivotTable4"/>
    <pivotTable tabId="3" name="PivotTable5"/>
    <pivotTable tabId="3" name="PivotTable8"/>
  </pivotTables>
  <state minimalRefreshVersion="6" lastRefreshVersion="6" pivotCacheId="459745988" filterType="dateBetween">
    <selection startDate="2025-01-01T00:00:00" endDate="2025-12-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C49C4D9-4AB3-4DE0-A5E1-62052A7DD3BE}" cache="NativeTimeline_Date" caption="Date" level="1" selectionLevel="0"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6A90-4A0C-45F9-B1CA-32652FC67469}">
  <sheetPr codeName="Sheet1"/>
  <dimension ref="A1:L104"/>
  <sheetViews>
    <sheetView topLeftCell="A5" workbookViewId="0">
      <selection activeCell="A5" sqref="A5:L104"/>
    </sheetView>
  </sheetViews>
  <sheetFormatPr defaultRowHeight="14.4" x14ac:dyDescent="0.3"/>
  <cols>
    <col min="1" max="7" width="13.6640625" customWidth="1"/>
    <col min="8" max="8" width="13.6640625" style="8" customWidth="1"/>
    <col min="9" max="9" width="13.6640625" customWidth="1"/>
    <col min="10" max="12" width="13.6640625" style="8" customWidth="1"/>
  </cols>
  <sheetData>
    <row r="1" spans="1:12" ht="25.8" x14ac:dyDescent="0.5">
      <c r="A1" s="39" t="s">
        <v>0</v>
      </c>
      <c r="B1" s="39"/>
      <c r="C1" s="39"/>
      <c r="D1" s="39"/>
      <c r="E1" s="39"/>
      <c r="F1" s="39"/>
      <c r="G1" s="39"/>
      <c r="H1" s="39"/>
      <c r="I1" s="39"/>
      <c r="J1" s="39"/>
      <c r="K1" s="39"/>
      <c r="L1" s="39"/>
    </row>
    <row r="2" spans="1:12" x14ac:dyDescent="0.3">
      <c r="A2" s="40" t="s">
        <v>1</v>
      </c>
      <c r="B2" s="40"/>
      <c r="C2" s="40"/>
      <c r="D2" s="40"/>
      <c r="E2" s="40"/>
      <c r="F2" s="40"/>
      <c r="G2" s="40"/>
      <c r="H2" s="40"/>
      <c r="I2" s="40"/>
      <c r="J2" s="40"/>
      <c r="K2" s="40"/>
      <c r="L2" s="40"/>
    </row>
    <row r="3" spans="1:12" x14ac:dyDescent="0.3">
      <c r="A3" s="1"/>
      <c r="B3" s="1"/>
      <c r="C3" s="1"/>
      <c r="D3" s="1"/>
      <c r="E3" s="1"/>
      <c r="F3" s="1"/>
      <c r="G3" s="1"/>
      <c r="H3" s="5"/>
      <c r="I3" s="1"/>
      <c r="J3" s="5"/>
      <c r="K3" s="5"/>
      <c r="L3" s="5"/>
    </row>
    <row r="4" spans="1:12" x14ac:dyDescent="0.3">
      <c r="A4" s="2" t="s">
        <v>2</v>
      </c>
      <c r="B4" s="10" t="s">
        <v>3</v>
      </c>
      <c r="C4" s="2" t="s">
        <v>4</v>
      </c>
      <c r="D4" s="2" t="s">
        <v>5</v>
      </c>
      <c r="E4" s="2" t="s">
        <v>6</v>
      </c>
      <c r="F4" s="2" t="s">
        <v>7</v>
      </c>
      <c r="G4" s="2" t="s">
        <v>8</v>
      </c>
      <c r="H4" s="6" t="s">
        <v>9</v>
      </c>
      <c r="I4" s="2" t="s">
        <v>10</v>
      </c>
      <c r="J4" s="6" t="s">
        <v>11</v>
      </c>
      <c r="K4" s="6" t="s">
        <v>12</v>
      </c>
      <c r="L4" s="6" t="s">
        <v>13</v>
      </c>
    </row>
    <row r="5" spans="1:12" ht="15" thickBot="1" x14ac:dyDescent="0.35">
      <c r="A5" s="3" t="s">
        <v>14</v>
      </c>
      <c r="B5" s="11">
        <v>45659</v>
      </c>
      <c r="C5" s="3" t="s">
        <v>15</v>
      </c>
      <c r="D5" s="3" t="s">
        <v>16</v>
      </c>
      <c r="E5" s="3" t="s">
        <v>17</v>
      </c>
      <c r="F5" s="3" t="s">
        <v>18</v>
      </c>
      <c r="G5" s="3">
        <v>2</v>
      </c>
      <c r="H5" s="7">
        <v>688.07</v>
      </c>
      <c r="I5" s="4">
        <v>0.15</v>
      </c>
      <c r="J5" s="7">
        <v>1169.72</v>
      </c>
      <c r="K5" s="7">
        <v>882.52</v>
      </c>
      <c r="L5" s="7">
        <v>287.2</v>
      </c>
    </row>
    <row r="6" spans="1:12" ht="15" thickBot="1" x14ac:dyDescent="0.35">
      <c r="A6" s="3" t="s">
        <v>19</v>
      </c>
      <c r="B6" s="11">
        <v>45668</v>
      </c>
      <c r="C6" s="3" t="s">
        <v>20</v>
      </c>
      <c r="D6" s="3" t="s">
        <v>21</v>
      </c>
      <c r="E6" s="3" t="s">
        <v>17</v>
      </c>
      <c r="F6" s="3" t="s">
        <v>18</v>
      </c>
      <c r="G6" s="3">
        <v>13</v>
      </c>
      <c r="H6" s="7">
        <v>590.04</v>
      </c>
      <c r="I6" s="4">
        <v>0.02</v>
      </c>
      <c r="J6" s="7">
        <v>7517.11</v>
      </c>
      <c r="K6" s="7">
        <v>4723.42</v>
      </c>
      <c r="L6" s="7">
        <v>2793.69</v>
      </c>
    </row>
    <row r="7" spans="1:12" ht="15" thickBot="1" x14ac:dyDescent="0.35">
      <c r="A7" s="3" t="s">
        <v>22</v>
      </c>
      <c r="B7" s="11">
        <v>45668</v>
      </c>
      <c r="C7" s="3" t="s">
        <v>20</v>
      </c>
      <c r="D7" s="3" t="s">
        <v>21</v>
      </c>
      <c r="E7" s="3" t="s">
        <v>23</v>
      </c>
      <c r="F7" s="3" t="s">
        <v>18</v>
      </c>
      <c r="G7" s="3">
        <v>8</v>
      </c>
      <c r="H7" s="7">
        <v>325.58999999999997</v>
      </c>
      <c r="I7" s="4">
        <v>0.02</v>
      </c>
      <c r="J7" s="7">
        <v>2552.63</v>
      </c>
      <c r="K7" s="7">
        <v>1487.63</v>
      </c>
      <c r="L7" s="7">
        <v>1065</v>
      </c>
    </row>
    <row r="8" spans="1:12" ht="15" thickBot="1" x14ac:dyDescent="0.35">
      <c r="A8" s="3" t="s">
        <v>24</v>
      </c>
      <c r="B8" s="11">
        <v>45671</v>
      </c>
      <c r="C8" s="3" t="s">
        <v>20</v>
      </c>
      <c r="D8" s="3" t="s">
        <v>25</v>
      </c>
      <c r="E8" s="3" t="s">
        <v>17</v>
      </c>
      <c r="F8" s="3" t="s">
        <v>18</v>
      </c>
      <c r="G8" s="3">
        <v>1</v>
      </c>
      <c r="H8" s="7">
        <v>600.23</v>
      </c>
      <c r="I8" s="4">
        <v>0.02</v>
      </c>
      <c r="J8" s="7">
        <v>588.23</v>
      </c>
      <c r="K8" s="7">
        <v>430.23</v>
      </c>
      <c r="L8" s="7">
        <v>158</v>
      </c>
    </row>
    <row r="9" spans="1:12" ht="15" thickBot="1" x14ac:dyDescent="0.35">
      <c r="A9" s="3" t="s">
        <v>26</v>
      </c>
      <c r="B9" s="11">
        <v>45674</v>
      </c>
      <c r="C9" s="3" t="s">
        <v>15</v>
      </c>
      <c r="D9" s="3" t="s">
        <v>27</v>
      </c>
      <c r="E9" s="3" t="s">
        <v>17</v>
      </c>
      <c r="F9" s="3" t="s">
        <v>18</v>
      </c>
      <c r="G9" s="3">
        <v>2</v>
      </c>
      <c r="H9" s="7">
        <v>700.02</v>
      </c>
      <c r="I9" s="4">
        <v>0</v>
      </c>
      <c r="J9" s="7">
        <v>1400.04</v>
      </c>
      <c r="K9" s="7">
        <v>875.8</v>
      </c>
      <c r="L9" s="7">
        <v>524.24</v>
      </c>
    </row>
    <row r="10" spans="1:12" ht="15" thickBot="1" x14ac:dyDescent="0.35">
      <c r="A10" s="3" t="s">
        <v>28</v>
      </c>
      <c r="B10" s="11">
        <v>45677</v>
      </c>
      <c r="C10" s="3" t="s">
        <v>29</v>
      </c>
      <c r="D10" s="3" t="s">
        <v>21</v>
      </c>
      <c r="E10" s="3" t="s">
        <v>30</v>
      </c>
      <c r="F10" s="3" t="s">
        <v>18</v>
      </c>
      <c r="G10" s="3">
        <v>3</v>
      </c>
      <c r="H10" s="7">
        <v>197.43</v>
      </c>
      <c r="I10" s="4">
        <v>0</v>
      </c>
      <c r="J10" s="7">
        <v>592.29</v>
      </c>
      <c r="K10" s="7">
        <v>400.53</v>
      </c>
      <c r="L10" s="7">
        <v>191.76</v>
      </c>
    </row>
    <row r="11" spans="1:12" ht="15" thickBot="1" x14ac:dyDescent="0.35">
      <c r="A11" s="3" t="s">
        <v>31</v>
      </c>
      <c r="B11" s="11">
        <v>45678</v>
      </c>
      <c r="C11" s="3" t="s">
        <v>15</v>
      </c>
      <c r="D11" s="3" t="s">
        <v>21</v>
      </c>
      <c r="E11" s="3" t="s">
        <v>32</v>
      </c>
      <c r="F11" s="3" t="s">
        <v>33</v>
      </c>
      <c r="G11" s="3">
        <v>1</v>
      </c>
      <c r="H11" s="7">
        <v>43.97</v>
      </c>
      <c r="I11" s="4">
        <v>0.15</v>
      </c>
      <c r="J11" s="7">
        <v>37.369999999999997</v>
      </c>
      <c r="K11" s="7">
        <v>38.29</v>
      </c>
      <c r="L11" s="7">
        <v>-0.92</v>
      </c>
    </row>
    <row r="12" spans="1:12" ht="15" thickBot="1" x14ac:dyDescent="0.35">
      <c r="A12" s="3" t="s">
        <v>34</v>
      </c>
      <c r="B12" s="11">
        <v>45688</v>
      </c>
      <c r="C12" s="3" t="s">
        <v>20</v>
      </c>
      <c r="D12" s="3" t="s">
        <v>25</v>
      </c>
      <c r="E12" s="3" t="s">
        <v>35</v>
      </c>
      <c r="F12" s="3" t="s">
        <v>36</v>
      </c>
      <c r="G12" s="3">
        <v>8</v>
      </c>
      <c r="H12" s="7">
        <v>285.7</v>
      </c>
      <c r="I12" s="4">
        <v>0.15</v>
      </c>
      <c r="J12" s="7">
        <v>1942.76</v>
      </c>
      <c r="K12" s="7">
        <v>1559.56</v>
      </c>
      <c r="L12" s="7">
        <v>383.2</v>
      </c>
    </row>
    <row r="13" spans="1:12" ht="15" thickBot="1" x14ac:dyDescent="0.35">
      <c r="A13" s="3" t="s">
        <v>37</v>
      </c>
      <c r="B13" s="11">
        <v>45695</v>
      </c>
      <c r="C13" s="3" t="s">
        <v>246</v>
      </c>
      <c r="D13" s="3" t="s">
        <v>39</v>
      </c>
      <c r="E13" s="3" t="s">
        <v>35</v>
      </c>
      <c r="F13" s="3" t="s">
        <v>36</v>
      </c>
      <c r="G13" s="3">
        <v>3</v>
      </c>
      <c r="H13" s="7">
        <v>299.02</v>
      </c>
      <c r="I13" s="4">
        <v>0.05</v>
      </c>
      <c r="J13" s="7">
        <v>852.21</v>
      </c>
      <c r="K13" s="7">
        <v>628.74</v>
      </c>
      <c r="L13" s="7">
        <v>223.47</v>
      </c>
    </row>
    <row r="14" spans="1:12" ht="15" thickBot="1" x14ac:dyDescent="0.35">
      <c r="A14" s="3" t="s">
        <v>40</v>
      </c>
      <c r="B14" s="11">
        <v>45696</v>
      </c>
      <c r="C14" s="3" t="s">
        <v>29</v>
      </c>
      <c r="D14" s="3" t="s">
        <v>27</v>
      </c>
      <c r="E14" s="3" t="s">
        <v>32</v>
      </c>
      <c r="F14" s="3" t="s">
        <v>33</v>
      </c>
      <c r="G14" s="3">
        <v>7</v>
      </c>
      <c r="H14" s="7">
        <v>42.56</v>
      </c>
      <c r="I14" s="4">
        <v>0.08</v>
      </c>
      <c r="J14" s="7">
        <v>274.08999999999997</v>
      </c>
      <c r="K14" s="7">
        <v>188.42</v>
      </c>
      <c r="L14" s="7">
        <v>85.67</v>
      </c>
    </row>
    <row r="15" spans="1:12" ht="15" thickBot="1" x14ac:dyDescent="0.35">
      <c r="A15" s="3" t="s">
        <v>41</v>
      </c>
      <c r="B15" s="11">
        <v>45705</v>
      </c>
      <c r="C15" s="3" t="s">
        <v>29</v>
      </c>
      <c r="D15" s="3" t="s">
        <v>27</v>
      </c>
      <c r="E15" s="3" t="s">
        <v>30</v>
      </c>
      <c r="F15" s="3" t="s">
        <v>18</v>
      </c>
      <c r="G15" s="3">
        <v>3</v>
      </c>
      <c r="H15" s="7">
        <v>171.69</v>
      </c>
      <c r="I15" s="4">
        <v>0.15</v>
      </c>
      <c r="J15" s="7">
        <v>437.81</v>
      </c>
      <c r="K15" s="7">
        <v>340.5</v>
      </c>
      <c r="L15" s="7">
        <v>97.31</v>
      </c>
    </row>
    <row r="16" spans="1:12" ht="15" thickBot="1" x14ac:dyDescent="0.35">
      <c r="A16" s="3" t="s">
        <v>42</v>
      </c>
      <c r="B16" s="11">
        <v>45705</v>
      </c>
      <c r="C16" s="3" t="s">
        <v>20</v>
      </c>
      <c r="D16" s="3" t="s">
        <v>16</v>
      </c>
      <c r="E16" s="3" t="s">
        <v>17</v>
      </c>
      <c r="F16" s="3" t="s">
        <v>18</v>
      </c>
      <c r="G16" s="3">
        <v>11</v>
      </c>
      <c r="H16" s="7">
        <v>747.38</v>
      </c>
      <c r="I16" s="4">
        <v>0.15</v>
      </c>
      <c r="J16" s="7">
        <v>6988</v>
      </c>
      <c r="K16" s="7">
        <v>4561.6899999999996</v>
      </c>
      <c r="L16" s="7">
        <v>2426.31</v>
      </c>
    </row>
    <row r="17" spans="1:12" ht="15" thickBot="1" x14ac:dyDescent="0.35">
      <c r="A17" s="3" t="s">
        <v>43</v>
      </c>
      <c r="B17" s="11">
        <v>45710</v>
      </c>
      <c r="C17" s="3" t="s">
        <v>38</v>
      </c>
      <c r="D17" s="3" t="s">
        <v>25</v>
      </c>
      <c r="E17" s="3" t="s">
        <v>44</v>
      </c>
      <c r="F17" s="3" t="s">
        <v>18</v>
      </c>
      <c r="G17" s="3">
        <v>1</v>
      </c>
      <c r="H17" s="7">
        <v>238.79</v>
      </c>
      <c r="I17" s="4">
        <v>0.02</v>
      </c>
      <c r="J17" s="7">
        <v>234.01</v>
      </c>
      <c r="K17" s="7">
        <v>148.91999999999999</v>
      </c>
      <c r="L17" s="7">
        <v>85.09</v>
      </c>
    </row>
    <row r="18" spans="1:12" ht="15" thickBot="1" x14ac:dyDescent="0.35">
      <c r="A18" s="3" t="s">
        <v>45</v>
      </c>
      <c r="B18" s="11">
        <v>45712</v>
      </c>
      <c r="C18" s="3" t="s">
        <v>29</v>
      </c>
      <c r="D18" s="3" t="s">
        <v>21</v>
      </c>
      <c r="E18" s="3" t="s">
        <v>46</v>
      </c>
      <c r="F18" s="3" t="s">
        <v>33</v>
      </c>
      <c r="G18" s="3">
        <v>3</v>
      </c>
      <c r="H18" s="7">
        <v>26.6</v>
      </c>
      <c r="I18" s="4">
        <v>0</v>
      </c>
      <c r="J18" s="7">
        <v>79.8</v>
      </c>
      <c r="K18" s="7">
        <v>67.400000000000006</v>
      </c>
      <c r="L18" s="7">
        <v>12.4</v>
      </c>
    </row>
    <row r="19" spans="1:12" ht="15" thickBot="1" x14ac:dyDescent="0.35">
      <c r="A19" s="3" t="s">
        <v>47</v>
      </c>
      <c r="B19" s="11">
        <v>45714</v>
      </c>
      <c r="C19" s="3" t="s">
        <v>20</v>
      </c>
      <c r="D19" s="3" t="s">
        <v>16</v>
      </c>
      <c r="E19" s="3" t="s">
        <v>46</v>
      </c>
      <c r="F19" s="3" t="s">
        <v>33</v>
      </c>
      <c r="G19" s="3">
        <v>3</v>
      </c>
      <c r="H19" s="7">
        <v>25.68</v>
      </c>
      <c r="I19" s="4">
        <v>0</v>
      </c>
      <c r="J19" s="7">
        <v>77.040000000000006</v>
      </c>
      <c r="K19" s="7">
        <v>61.59</v>
      </c>
      <c r="L19" s="7">
        <v>15.45</v>
      </c>
    </row>
    <row r="20" spans="1:12" ht="15" thickBot="1" x14ac:dyDescent="0.35">
      <c r="A20" s="3" t="s">
        <v>48</v>
      </c>
      <c r="B20" s="11">
        <v>45719</v>
      </c>
      <c r="C20" s="3" t="s">
        <v>20</v>
      </c>
      <c r="D20" s="3" t="s">
        <v>21</v>
      </c>
      <c r="E20" s="3" t="s">
        <v>30</v>
      </c>
      <c r="F20" s="3" t="s">
        <v>18</v>
      </c>
      <c r="G20" s="3">
        <v>5</v>
      </c>
      <c r="H20" s="7">
        <v>172.37</v>
      </c>
      <c r="I20" s="4">
        <v>0.12</v>
      </c>
      <c r="J20" s="7">
        <v>758.42999999999904</v>
      </c>
      <c r="K20" s="7">
        <v>528.79</v>
      </c>
      <c r="L20" s="7">
        <v>229.64</v>
      </c>
    </row>
    <row r="21" spans="1:12" ht="15" thickBot="1" x14ac:dyDescent="0.35">
      <c r="A21" s="3" t="s">
        <v>49</v>
      </c>
      <c r="B21" s="11">
        <v>45725</v>
      </c>
      <c r="C21" s="3" t="s">
        <v>29</v>
      </c>
      <c r="D21" s="3" t="s">
        <v>21</v>
      </c>
      <c r="E21" s="3" t="s">
        <v>23</v>
      </c>
      <c r="F21" s="3" t="s">
        <v>18</v>
      </c>
      <c r="G21" s="3">
        <v>4</v>
      </c>
      <c r="H21" s="7">
        <v>339.37</v>
      </c>
      <c r="I21" s="4">
        <v>0.08</v>
      </c>
      <c r="J21" s="7">
        <v>1248.8800000000001</v>
      </c>
      <c r="K21" s="7">
        <v>842.59</v>
      </c>
      <c r="L21" s="7">
        <v>406.29</v>
      </c>
    </row>
    <row r="22" spans="1:12" ht="15" thickBot="1" x14ac:dyDescent="0.35">
      <c r="A22" s="3" t="s">
        <v>50</v>
      </c>
      <c r="B22" s="11">
        <v>45737</v>
      </c>
      <c r="C22" s="3" t="s">
        <v>15</v>
      </c>
      <c r="D22" s="3" t="s">
        <v>51</v>
      </c>
      <c r="E22" s="3" t="s">
        <v>32</v>
      </c>
      <c r="F22" s="3" t="s">
        <v>33</v>
      </c>
      <c r="G22" s="3">
        <v>5</v>
      </c>
      <c r="H22" s="7">
        <v>41.8</v>
      </c>
      <c r="I22" s="4">
        <v>0</v>
      </c>
      <c r="J22" s="7">
        <v>209</v>
      </c>
      <c r="K22" s="7">
        <v>166.15</v>
      </c>
      <c r="L22" s="7">
        <v>42.85</v>
      </c>
    </row>
    <row r="23" spans="1:12" ht="15" thickBot="1" x14ac:dyDescent="0.35">
      <c r="A23" s="3" t="s">
        <v>52</v>
      </c>
      <c r="B23" s="11">
        <v>45738</v>
      </c>
      <c r="C23" s="3" t="s">
        <v>29</v>
      </c>
      <c r="D23" s="3" t="s">
        <v>51</v>
      </c>
      <c r="E23" s="3" t="s">
        <v>53</v>
      </c>
      <c r="F23" s="3" t="s">
        <v>36</v>
      </c>
      <c r="G23" s="3">
        <v>15</v>
      </c>
      <c r="H23" s="7">
        <v>137.58000000000001</v>
      </c>
      <c r="I23" s="4">
        <v>0.02</v>
      </c>
      <c r="J23" s="7">
        <v>2022.43</v>
      </c>
      <c r="K23" s="7">
        <v>1386.69</v>
      </c>
      <c r="L23" s="7">
        <v>635.74</v>
      </c>
    </row>
    <row r="24" spans="1:12" ht="15" thickBot="1" x14ac:dyDescent="0.35">
      <c r="A24" s="3" t="s">
        <v>54</v>
      </c>
      <c r="B24" s="11">
        <v>45739</v>
      </c>
      <c r="C24" s="3" t="s">
        <v>29</v>
      </c>
      <c r="D24" s="3" t="s">
        <v>55</v>
      </c>
      <c r="E24" s="3" t="s">
        <v>46</v>
      </c>
      <c r="F24" s="3" t="s">
        <v>33</v>
      </c>
      <c r="G24" s="3">
        <v>8</v>
      </c>
      <c r="H24" s="7">
        <v>26.18</v>
      </c>
      <c r="I24" s="4">
        <v>0.15</v>
      </c>
      <c r="J24" s="7">
        <v>178.02</v>
      </c>
      <c r="K24" s="7">
        <v>175.27</v>
      </c>
      <c r="L24" s="7">
        <v>2.75</v>
      </c>
    </row>
    <row r="25" spans="1:12" ht="15" thickBot="1" x14ac:dyDescent="0.35">
      <c r="A25" s="3" t="s">
        <v>56</v>
      </c>
      <c r="B25" s="11">
        <v>45741</v>
      </c>
      <c r="C25" s="3" t="s">
        <v>15</v>
      </c>
      <c r="D25" s="3" t="s">
        <v>27</v>
      </c>
      <c r="E25" s="3" t="s">
        <v>32</v>
      </c>
      <c r="F25" s="3" t="s">
        <v>33</v>
      </c>
      <c r="G25" s="3">
        <v>10</v>
      </c>
      <c r="H25" s="7">
        <v>47.33</v>
      </c>
      <c r="I25" s="4">
        <v>0.12</v>
      </c>
      <c r="J25" s="7">
        <v>416.5</v>
      </c>
      <c r="K25" s="7">
        <v>372.51</v>
      </c>
      <c r="L25" s="7">
        <v>43.99</v>
      </c>
    </row>
    <row r="26" spans="1:12" ht="15" thickBot="1" x14ac:dyDescent="0.35">
      <c r="A26" s="3" t="s">
        <v>57</v>
      </c>
      <c r="B26" s="11">
        <v>45741</v>
      </c>
      <c r="C26" s="3" t="s">
        <v>29</v>
      </c>
      <c r="D26" s="3" t="s">
        <v>25</v>
      </c>
      <c r="E26" s="3" t="s">
        <v>44</v>
      </c>
      <c r="F26" s="3" t="s">
        <v>18</v>
      </c>
      <c r="G26" s="3">
        <v>10</v>
      </c>
      <c r="H26" s="7">
        <v>232.92</v>
      </c>
      <c r="I26" s="4">
        <v>0.1</v>
      </c>
      <c r="J26" s="7">
        <v>2096.2800000000002</v>
      </c>
      <c r="K26" s="7">
        <v>1841.49</v>
      </c>
      <c r="L26" s="7">
        <v>254.79</v>
      </c>
    </row>
    <row r="27" spans="1:12" ht="15" thickBot="1" x14ac:dyDescent="0.35">
      <c r="A27" s="3" t="s">
        <v>58</v>
      </c>
      <c r="B27" s="11">
        <v>45744</v>
      </c>
      <c r="C27" s="3" t="s">
        <v>38</v>
      </c>
      <c r="D27" s="3" t="s">
        <v>51</v>
      </c>
      <c r="E27" s="3" t="s">
        <v>59</v>
      </c>
      <c r="F27" s="3" t="s">
        <v>33</v>
      </c>
      <c r="G27" s="3">
        <v>8</v>
      </c>
      <c r="H27" s="7">
        <v>64.13</v>
      </c>
      <c r="I27" s="4">
        <v>0.1</v>
      </c>
      <c r="J27" s="7">
        <v>461.74</v>
      </c>
      <c r="K27" s="7">
        <v>362.28</v>
      </c>
      <c r="L27" s="7">
        <v>99.459999999999894</v>
      </c>
    </row>
    <row r="28" spans="1:12" ht="15" thickBot="1" x14ac:dyDescent="0.35">
      <c r="A28" s="3" t="s">
        <v>60</v>
      </c>
      <c r="B28" s="11">
        <v>45747</v>
      </c>
      <c r="C28" s="3" t="s">
        <v>15</v>
      </c>
      <c r="D28" s="3" t="s">
        <v>25</v>
      </c>
      <c r="E28" s="3" t="s">
        <v>46</v>
      </c>
      <c r="F28" s="3" t="s">
        <v>33</v>
      </c>
      <c r="G28" s="3">
        <v>7</v>
      </c>
      <c r="H28" s="7">
        <v>26.66</v>
      </c>
      <c r="I28" s="4">
        <v>0.08</v>
      </c>
      <c r="J28" s="7">
        <v>171.69</v>
      </c>
      <c r="K28" s="7">
        <v>144.35</v>
      </c>
      <c r="L28" s="7">
        <v>27.34</v>
      </c>
    </row>
    <row r="29" spans="1:12" ht="15" thickBot="1" x14ac:dyDescent="0.35">
      <c r="A29" s="3" t="s">
        <v>61</v>
      </c>
      <c r="B29" s="11">
        <v>45752</v>
      </c>
      <c r="C29" s="3" t="s">
        <v>38</v>
      </c>
      <c r="D29" s="3" t="s">
        <v>51</v>
      </c>
      <c r="E29" s="3" t="s">
        <v>17</v>
      </c>
      <c r="F29" s="3" t="s">
        <v>18</v>
      </c>
      <c r="G29" s="3">
        <v>10</v>
      </c>
      <c r="H29" s="7">
        <v>631.21</v>
      </c>
      <c r="I29" s="4">
        <v>0.08</v>
      </c>
      <c r="J29" s="7">
        <v>5807.13</v>
      </c>
      <c r="K29" s="7">
        <v>4389.1499999999996</v>
      </c>
      <c r="L29" s="7">
        <v>1417.98</v>
      </c>
    </row>
    <row r="30" spans="1:12" ht="15" thickBot="1" x14ac:dyDescent="0.35">
      <c r="A30" s="3" t="s">
        <v>62</v>
      </c>
      <c r="B30" s="11">
        <v>45755</v>
      </c>
      <c r="C30" s="3" t="s">
        <v>38</v>
      </c>
      <c r="D30" s="3" t="s">
        <v>21</v>
      </c>
      <c r="E30" s="3" t="s">
        <v>63</v>
      </c>
      <c r="F30" s="3" t="s">
        <v>33</v>
      </c>
      <c r="G30" s="3">
        <v>12</v>
      </c>
      <c r="H30" s="7">
        <v>89.599999999999895</v>
      </c>
      <c r="I30" s="4">
        <v>0.1</v>
      </c>
      <c r="J30" s="7">
        <v>967.67999999999904</v>
      </c>
      <c r="K30" s="7">
        <v>594.96</v>
      </c>
      <c r="L30" s="7">
        <v>372.72</v>
      </c>
    </row>
    <row r="31" spans="1:12" ht="15" thickBot="1" x14ac:dyDescent="0.35">
      <c r="A31" s="3" t="s">
        <v>64</v>
      </c>
      <c r="B31" s="11">
        <v>45756</v>
      </c>
      <c r="C31" s="3" t="s">
        <v>20</v>
      </c>
      <c r="D31" s="3" t="s">
        <v>39</v>
      </c>
      <c r="E31" s="3" t="s">
        <v>35</v>
      </c>
      <c r="F31" s="3" t="s">
        <v>36</v>
      </c>
      <c r="G31" s="3">
        <v>12</v>
      </c>
      <c r="H31" s="7">
        <v>275.75</v>
      </c>
      <c r="I31" s="4">
        <v>0.15</v>
      </c>
      <c r="J31" s="7">
        <v>2812.65</v>
      </c>
      <c r="K31" s="7">
        <v>1939.27</v>
      </c>
      <c r="L31" s="7">
        <v>873.38</v>
      </c>
    </row>
    <row r="32" spans="1:12" ht="15" thickBot="1" x14ac:dyDescent="0.35">
      <c r="A32" s="3" t="s">
        <v>65</v>
      </c>
      <c r="B32" s="11">
        <v>45767</v>
      </c>
      <c r="C32" s="3" t="s">
        <v>38</v>
      </c>
      <c r="D32" s="3" t="s">
        <v>25</v>
      </c>
      <c r="E32" s="3" t="s">
        <v>32</v>
      </c>
      <c r="F32" s="3" t="s">
        <v>33</v>
      </c>
      <c r="G32" s="3">
        <v>3</v>
      </c>
      <c r="H32" s="7">
        <v>43.1</v>
      </c>
      <c r="I32" s="4">
        <v>0.12</v>
      </c>
      <c r="J32" s="7">
        <v>113.78</v>
      </c>
      <c r="K32" s="7">
        <v>77.64</v>
      </c>
      <c r="L32" s="7">
        <v>36.14</v>
      </c>
    </row>
    <row r="33" spans="1:12" ht="15" thickBot="1" x14ac:dyDescent="0.35">
      <c r="A33" s="3" t="s">
        <v>66</v>
      </c>
      <c r="B33" s="11">
        <v>45774</v>
      </c>
      <c r="C33" s="3" t="s">
        <v>20</v>
      </c>
      <c r="D33" s="3" t="s">
        <v>67</v>
      </c>
      <c r="E33" s="3" t="s">
        <v>46</v>
      </c>
      <c r="F33" s="3" t="s">
        <v>33</v>
      </c>
      <c r="G33" s="3">
        <v>14</v>
      </c>
      <c r="H33" s="7">
        <v>28.24</v>
      </c>
      <c r="I33" s="4">
        <v>0.05</v>
      </c>
      <c r="J33" s="7">
        <v>375.59</v>
      </c>
      <c r="K33" s="7">
        <v>257.27</v>
      </c>
      <c r="L33" s="7">
        <v>118.32</v>
      </c>
    </row>
    <row r="34" spans="1:12" ht="15" thickBot="1" x14ac:dyDescent="0.35">
      <c r="A34" s="3" t="s">
        <v>68</v>
      </c>
      <c r="B34" s="11">
        <v>45777</v>
      </c>
      <c r="C34" s="3" t="s">
        <v>38</v>
      </c>
      <c r="D34" s="3" t="s">
        <v>25</v>
      </c>
      <c r="E34" s="3" t="s">
        <v>17</v>
      </c>
      <c r="F34" s="3" t="s">
        <v>18</v>
      </c>
      <c r="G34" s="3">
        <v>11</v>
      </c>
      <c r="H34" s="7">
        <v>622.03</v>
      </c>
      <c r="I34" s="4">
        <v>0.05</v>
      </c>
      <c r="J34" s="7">
        <v>6500.21</v>
      </c>
      <c r="K34" s="7">
        <v>5987.88</v>
      </c>
      <c r="L34" s="7">
        <v>512.33000000000004</v>
      </c>
    </row>
    <row r="35" spans="1:12" ht="15" thickBot="1" x14ac:dyDescent="0.35">
      <c r="A35" s="3" t="s">
        <v>69</v>
      </c>
      <c r="B35" s="11">
        <v>45778</v>
      </c>
      <c r="C35" s="3" t="s">
        <v>15</v>
      </c>
      <c r="D35" s="3" t="s">
        <v>21</v>
      </c>
      <c r="E35" s="3" t="s">
        <v>23</v>
      </c>
      <c r="F35" s="3" t="s">
        <v>18</v>
      </c>
      <c r="G35" s="3">
        <v>11</v>
      </c>
      <c r="H35" s="7">
        <v>370.38</v>
      </c>
      <c r="I35" s="4">
        <v>0.05</v>
      </c>
      <c r="J35" s="7">
        <v>3870.47</v>
      </c>
      <c r="K35" s="7">
        <v>2366.36</v>
      </c>
      <c r="L35" s="7">
        <v>1504.11</v>
      </c>
    </row>
    <row r="36" spans="1:12" ht="15" thickBot="1" x14ac:dyDescent="0.35">
      <c r="A36" s="3" t="s">
        <v>70</v>
      </c>
      <c r="B36" s="11">
        <v>45783</v>
      </c>
      <c r="C36" s="3" t="s">
        <v>38</v>
      </c>
      <c r="D36" s="3" t="s">
        <v>51</v>
      </c>
      <c r="E36" s="3" t="s">
        <v>35</v>
      </c>
      <c r="F36" s="3" t="s">
        <v>36</v>
      </c>
      <c r="G36" s="3">
        <v>14</v>
      </c>
      <c r="H36" s="7">
        <v>303.17</v>
      </c>
      <c r="I36" s="4">
        <v>0.05</v>
      </c>
      <c r="J36" s="7">
        <v>4032.16</v>
      </c>
      <c r="K36" s="7">
        <v>2785.84</v>
      </c>
      <c r="L36" s="7">
        <v>1246.32</v>
      </c>
    </row>
    <row r="37" spans="1:12" ht="15" thickBot="1" x14ac:dyDescent="0.35">
      <c r="A37" s="3" t="s">
        <v>71</v>
      </c>
      <c r="B37" s="11">
        <v>45785</v>
      </c>
      <c r="C37" s="3" t="s">
        <v>38</v>
      </c>
      <c r="D37" s="3" t="s">
        <v>25</v>
      </c>
      <c r="E37" s="3" t="s">
        <v>32</v>
      </c>
      <c r="F37" s="3" t="s">
        <v>33</v>
      </c>
      <c r="G37" s="3">
        <v>13</v>
      </c>
      <c r="H37" s="7">
        <v>46.83</v>
      </c>
      <c r="I37" s="4">
        <v>0.05</v>
      </c>
      <c r="J37" s="7">
        <v>578.35</v>
      </c>
      <c r="K37" s="7">
        <v>351.95</v>
      </c>
      <c r="L37" s="7">
        <v>226.4</v>
      </c>
    </row>
    <row r="38" spans="1:12" ht="15" thickBot="1" x14ac:dyDescent="0.35">
      <c r="A38" s="3" t="s">
        <v>72</v>
      </c>
      <c r="B38" s="11">
        <v>45790</v>
      </c>
      <c r="C38" s="3" t="s">
        <v>15</v>
      </c>
      <c r="D38" s="3" t="s">
        <v>51</v>
      </c>
      <c r="E38" s="3" t="s">
        <v>59</v>
      </c>
      <c r="F38" s="3" t="s">
        <v>33</v>
      </c>
      <c r="G38" s="3">
        <v>14</v>
      </c>
      <c r="H38" s="7">
        <v>58.88</v>
      </c>
      <c r="I38" s="4">
        <v>0.08</v>
      </c>
      <c r="J38" s="7">
        <v>758.37</v>
      </c>
      <c r="K38" s="7">
        <v>511.08</v>
      </c>
      <c r="L38" s="7">
        <v>247.29</v>
      </c>
    </row>
    <row r="39" spans="1:12" ht="15" thickBot="1" x14ac:dyDescent="0.35">
      <c r="A39" s="3" t="s">
        <v>73</v>
      </c>
      <c r="B39" s="11">
        <v>45791</v>
      </c>
      <c r="C39" s="3" t="s">
        <v>20</v>
      </c>
      <c r="D39" s="3" t="s">
        <v>51</v>
      </c>
      <c r="E39" s="3" t="s">
        <v>23</v>
      </c>
      <c r="F39" s="3" t="s">
        <v>18</v>
      </c>
      <c r="G39" s="3">
        <v>6</v>
      </c>
      <c r="H39" s="7">
        <v>397.18</v>
      </c>
      <c r="I39" s="4">
        <v>0</v>
      </c>
      <c r="J39" s="7">
        <v>2383.08</v>
      </c>
      <c r="K39" s="7">
        <v>2000.41</v>
      </c>
      <c r="L39" s="7">
        <v>382.67</v>
      </c>
    </row>
    <row r="40" spans="1:12" ht="15" thickBot="1" x14ac:dyDescent="0.35">
      <c r="A40" s="3" t="s">
        <v>74</v>
      </c>
      <c r="B40" s="11">
        <v>45792</v>
      </c>
      <c r="C40" s="3" t="s">
        <v>20</v>
      </c>
      <c r="D40" s="3" t="s">
        <v>27</v>
      </c>
      <c r="E40" s="3" t="s">
        <v>30</v>
      </c>
      <c r="F40" s="3" t="s">
        <v>18</v>
      </c>
      <c r="G40" s="3">
        <v>7</v>
      </c>
      <c r="H40" s="7">
        <v>169.12</v>
      </c>
      <c r="I40" s="4">
        <v>0</v>
      </c>
      <c r="J40" s="7">
        <v>1183.8399999999999</v>
      </c>
      <c r="K40" s="7">
        <v>1023.74</v>
      </c>
      <c r="L40" s="7">
        <v>160.1</v>
      </c>
    </row>
    <row r="41" spans="1:12" ht="15" thickBot="1" x14ac:dyDescent="0.35">
      <c r="A41" s="3" t="s">
        <v>75</v>
      </c>
      <c r="B41" s="11">
        <v>45793</v>
      </c>
      <c r="C41" s="3" t="s">
        <v>20</v>
      </c>
      <c r="D41" s="3" t="s">
        <v>21</v>
      </c>
      <c r="E41" s="3" t="s">
        <v>59</v>
      </c>
      <c r="F41" s="3" t="s">
        <v>33</v>
      </c>
      <c r="G41" s="3">
        <v>7</v>
      </c>
      <c r="H41" s="7">
        <v>67.27</v>
      </c>
      <c r="I41" s="4">
        <v>0.12</v>
      </c>
      <c r="J41" s="7">
        <v>414.38</v>
      </c>
      <c r="K41" s="7">
        <v>330.29</v>
      </c>
      <c r="L41" s="7">
        <v>84.09</v>
      </c>
    </row>
    <row r="42" spans="1:12" ht="15" thickBot="1" x14ac:dyDescent="0.35">
      <c r="A42" s="3" t="s">
        <v>76</v>
      </c>
      <c r="B42" s="11">
        <v>45793</v>
      </c>
      <c r="C42" s="3" t="s">
        <v>29</v>
      </c>
      <c r="D42" s="3" t="s">
        <v>51</v>
      </c>
      <c r="E42" s="3" t="s">
        <v>63</v>
      </c>
      <c r="F42" s="3" t="s">
        <v>33</v>
      </c>
      <c r="G42" s="3">
        <v>4</v>
      </c>
      <c r="H42" s="7">
        <v>86.349999999999895</v>
      </c>
      <c r="I42" s="4">
        <v>0.02</v>
      </c>
      <c r="J42" s="7">
        <v>338.49</v>
      </c>
      <c r="K42" s="7">
        <v>268.33</v>
      </c>
      <c r="L42" s="7">
        <v>70.16</v>
      </c>
    </row>
    <row r="43" spans="1:12" ht="15" thickBot="1" x14ac:dyDescent="0.35">
      <c r="A43" s="3" t="s">
        <v>77</v>
      </c>
      <c r="B43" s="11">
        <v>45799</v>
      </c>
      <c r="C43" s="3" t="s">
        <v>29</v>
      </c>
      <c r="D43" s="3" t="s">
        <v>21</v>
      </c>
      <c r="E43" s="3" t="s">
        <v>59</v>
      </c>
      <c r="F43" s="3" t="s">
        <v>33</v>
      </c>
      <c r="G43" s="3">
        <v>8</v>
      </c>
      <c r="H43" s="7">
        <v>57.89</v>
      </c>
      <c r="I43" s="4">
        <v>0.02</v>
      </c>
      <c r="J43" s="7">
        <v>453.86</v>
      </c>
      <c r="K43" s="7">
        <v>383.07</v>
      </c>
      <c r="L43" s="7">
        <v>70.790000000000006</v>
      </c>
    </row>
    <row r="44" spans="1:12" ht="15" thickBot="1" x14ac:dyDescent="0.35">
      <c r="A44" s="3" t="s">
        <v>78</v>
      </c>
      <c r="B44" s="11">
        <v>45800</v>
      </c>
      <c r="C44" s="3" t="s">
        <v>15</v>
      </c>
      <c r="D44" s="3" t="s">
        <v>25</v>
      </c>
      <c r="E44" s="3" t="s">
        <v>46</v>
      </c>
      <c r="F44" s="3" t="s">
        <v>33</v>
      </c>
      <c r="G44" s="3">
        <v>7</v>
      </c>
      <c r="H44" s="7">
        <v>24.55</v>
      </c>
      <c r="I44" s="4">
        <v>0.15</v>
      </c>
      <c r="J44" s="7">
        <v>146.07</v>
      </c>
      <c r="K44" s="7">
        <v>98.45</v>
      </c>
      <c r="L44" s="7">
        <v>47.62</v>
      </c>
    </row>
    <row r="45" spans="1:12" ht="15" thickBot="1" x14ac:dyDescent="0.35">
      <c r="A45" s="3" t="s">
        <v>79</v>
      </c>
      <c r="B45" s="11">
        <v>45804</v>
      </c>
      <c r="C45" s="3" t="s">
        <v>29</v>
      </c>
      <c r="D45" s="3" t="s">
        <v>39</v>
      </c>
      <c r="E45" s="3" t="s">
        <v>17</v>
      </c>
      <c r="F45" s="3" t="s">
        <v>18</v>
      </c>
      <c r="G45" s="3">
        <v>7</v>
      </c>
      <c r="H45" s="7">
        <v>628.1</v>
      </c>
      <c r="I45" s="4">
        <v>0.15</v>
      </c>
      <c r="J45" s="7">
        <v>3737.19</v>
      </c>
      <c r="K45" s="7">
        <v>3557.34</v>
      </c>
      <c r="L45" s="7">
        <v>179.85</v>
      </c>
    </row>
    <row r="46" spans="1:12" ht="15" thickBot="1" x14ac:dyDescent="0.35">
      <c r="A46" s="3" t="s">
        <v>80</v>
      </c>
      <c r="B46" s="11">
        <v>45814</v>
      </c>
      <c r="C46" s="3" t="s">
        <v>15</v>
      </c>
      <c r="D46" s="3" t="s">
        <v>39</v>
      </c>
      <c r="E46" s="3" t="s">
        <v>17</v>
      </c>
      <c r="F46" s="3" t="s">
        <v>18</v>
      </c>
      <c r="G46" s="3">
        <v>2</v>
      </c>
      <c r="H46" s="7">
        <v>632.80999999999904</v>
      </c>
      <c r="I46" s="4">
        <v>0.08</v>
      </c>
      <c r="J46" s="7">
        <v>1164.3699999999999</v>
      </c>
      <c r="K46" s="7">
        <v>985.02</v>
      </c>
      <c r="L46" s="7">
        <v>179.35</v>
      </c>
    </row>
    <row r="47" spans="1:12" ht="15" thickBot="1" x14ac:dyDescent="0.35">
      <c r="A47" s="3" t="s">
        <v>81</v>
      </c>
      <c r="B47" s="11">
        <v>45815</v>
      </c>
      <c r="C47" s="3" t="s">
        <v>20</v>
      </c>
      <c r="D47" s="3" t="s">
        <v>67</v>
      </c>
      <c r="E47" s="3" t="s">
        <v>63</v>
      </c>
      <c r="F47" s="3" t="s">
        <v>33</v>
      </c>
      <c r="G47" s="3">
        <v>6</v>
      </c>
      <c r="H47" s="7">
        <v>81.77</v>
      </c>
      <c r="I47" s="4">
        <v>0</v>
      </c>
      <c r="J47" s="7">
        <v>490.62</v>
      </c>
      <c r="K47" s="7">
        <v>420.27</v>
      </c>
      <c r="L47" s="7">
        <v>70.349999999999895</v>
      </c>
    </row>
    <row r="48" spans="1:12" ht="15" thickBot="1" x14ac:dyDescent="0.35">
      <c r="A48" s="3" t="s">
        <v>82</v>
      </c>
      <c r="B48" s="11">
        <v>45818</v>
      </c>
      <c r="C48" s="3" t="s">
        <v>20</v>
      </c>
      <c r="D48" s="3" t="s">
        <v>51</v>
      </c>
      <c r="E48" s="3" t="s">
        <v>63</v>
      </c>
      <c r="F48" s="3" t="s">
        <v>33</v>
      </c>
      <c r="G48" s="3">
        <v>10</v>
      </c>
      <c r="H48" s="7">
        <v>82.459999999999894</v>
      </c>
      <c r="I48" s="4">
        <v>0.05</v>
      </c>
      <c r="J48" s="7">
        <v>783.37</v>
      </c>
      <c r="K48" s="7">
        <v>509.11</v>
      </c>
      <c r="L48" s="7">
        <v>274.26</v>
      </c>
    </row>
    <row r="49" spans="1:12" ht="15" thickBot="1" x14ac:dyDescent="0.35">
      <c r="A49" s="3" t="s">
        <v>83</v>
      </c>
      <c r="B49" s="11">
        <v>45818</v>
      </c>
      <c r="C49" s="3" t="s">
        <v>29</v>
      </c>
      <c r="D49" s="3" t="s">
        <v>27</v>
      </c>
      <c r="E49" s="3" t="s">
        <v>17</v>
      </c>
      <c r="F49" s="3" t="s">
        <v>18</v>
      </c>
      <c r="G49" s="3">
        <v>2</v>
      </c>
      <c r="H49" s="7">
        <v>681.94</v>
      </c>
      <c r="I49" s="4">
        <v>0.05</v>
      </c>
      <c r="J49" s="7">
        <v>1295.69</v>
      </c>
      <c r="K49" s="7">
        <v>1078.04</v>
      </c>
      <c r="L49" s="7">
        <v>217.65</v>
      </c>
    </row>
    <row r="50" spans="1:12" ht="15" thickBot="1" x14ac:dyDescent="0.35">
      <c r="A50" s="3" t="s">
        <v>84</v>
      </c>
      <c r="B50" s="11">
        <v>45824</v>
      </c>
      <c r="C50" s="3" t="s">
        <v>38</v>
      </c>
      <c r="D50" s="3" t="s">
        <v>21</v>
      </c>
      <c r="E50" s="3" t="s">
        <v>30</v>
      </c>
      <c r="F50" s="3" t="s">
        <v>18</v>
      </c>
      <c r="G50" s="3">
        <v>15</v>
      </c>
      <c r="H50" s="7">
        <v>190.8</v>
      </c>
      <c r="I50" s="4">
        <v>0.1</v>
      </c>
      <c r="J50" s="7">
        <v>2575.8000000000002</v>
      </c>
      <c r="K50" s="7">
        <v>1781.52</v>
      </c>
      <c r="L50" s="7">
        <v>794.28</v>
      </c>
    </row>
    <row r="51" spans="1:12" ht="15" thickBot="1" x14ac:dyDescent="0.35">
      <c r="A51" s="3" t="s">
        <v>85</v>
      </c>
      <c r="B51" s="11">
        <v>45828</v>
      </c>
      <c r="C51" s="3" t="s">
        <v>29</v>
      </c>
      <c r="D51" s="3" t="s">
        <v>21</v>
      </c>
      <c r="E51" s="3" t="s">
        <v>32</v>
      </c>
      <c r="F51" s="3" t="s">
        <v>33</v>
      </c>
      <c r="G51" s="3">
        <v>13</v>
      </c>
      <c r="H51" s="7">
        <v>49.62</v>
      </c>
      <c r="I51" s="4">
        <v>0.08</v>
      </c>
      <c r="J51" s="7">
        <v>593.46</v>
      </c>
      <c r="K51" s="7">
        <v>360.06</v>
      </c>
      <c r="L51" s="7">
        <v>233.4</v>
      </c>
    </row>
    <row r="52" spans="1:12" ht="15" thickBot="1" x14ac:dyDescent="0.35">
      <c r="A52" s="3" t="s">
        <v>86</v>
      </c>
      <c r="B52" s="11">
        <v>45829</v>
      </c>
      <c r="C52" s="3" t="s">
        <v>15</v>
      </c>
      <c r="D52" s="3" t="s">
        <v>27</v>
      </c>
      <c r="E52" s="3" t="s">
        <v>30</v>
      </c>
      <c r="F52" s="3" t="s">
        <v>18</v>
      </c>
      <c r="G52" s="3">
        <v>8</v>
      </c>
      <c r="H52" s="7">
        <v>165.49</v>
      </c>
      <c r="I52" s="4">
        <v>0.05</v>
      </c>
      <c r="J52" s="7">
        <v>1257.72</v>
      </c>
      <c r="K52" s="7">
        <v>830.6</v>
      </c>
      <c r="L52" s="7">
        <v>427.12</v>
      </c>
    </row>
    <row r="53" spans="1:12" ht="15" thickBot="1" x14ac:dyDescent="0.35">
      <c r="A53" s="3" t="s">
        <v>87</v>
      </c>
      <c r="B53" s="11">
        <v>45830</v>
      </c>
      <c r="C53" s="3" t="s">
        <v>29</v>
      </c>
      <c r="D53" s="3" t="s">
        <v>16</v>
      </c>
      <c r="E53" s="3" t="s">
        <v>59</v>
      </c>
      <c r="F53" s="3" t="s">
        <v>33</v>
      </c>
      <c r="G53" s="3">
        <v>4</v>
      </c>
      <c r="H53" s="7">
        <v>58.09</v>
      </c>
      <c r="I53" s="4">
        <v>0.08</v>
      </c>
      <c r="J53" s="7">
        <v>213.77</v>
      </c>
      <c r="K53" s="7">
        <v>130.02000000000001</v>
      </c>
      <c r="L53" s="7">
        <v>83.75</v>
      </c>
    </row>
    <row r="54" spans="1:12" ht="15" thickBot="1" x14ac:dyDescent="0.35">
      <c r="A54" s="3" t="s">
        <v>88</v>
      </c>
      <c r="B54" s="11">
        <v>45837</v>
      </c>
      <c r="C54" s="3" t="s">
        <v>20</v>
      </c>
      <c r="D54" s="3" t="s">
        <v>27</v>
      </c>
      <c r="E54" s="3" t="s">
        <v>59</v>
      </c>
      <c r="F54" s="3" t="s">
        <v>33</v>
      </c>
      <c r="G54" s="3">
        <v>1</v>
      </c>
      <c r="H54" s="7">
        <v>65.239999999999895</v>
      </c>
      <c r="I54" s="4">
        <v>0</v>
      </c>
      <c r="J54" s="7">
        <v>65.239999999999895</v>
      </c>
      <c r="K54" s="7">
        <v>57.41</v>
      </c>
      <c r="L54" s="7">
        <v>7.83</v>
      </c>
    </row>
    <row r="55" spans="1:12" ht="15" thickBot="1" x14ac:dyDescent="0.35">
      <c r="A55" s="3" t="s">
        <v>89</v>
      </c>
      <c r="B55" s="11">
        <v>45838</v>
      </c>
      <c r="C55" s="3" t="s">
        <v>29</v>
      </c>
      <c r="D55" s="3" t="s">
        <v>51</v>
      </c>
      <c r="E55" s="3" t="s">
        <v>23</v>
      </c>
      <c r="F55" s="3" t="s">
        <v>18</v>
      </c>
      <c r="G55" s="3">
        <v>9</v>
      </c>
      <c r="H55" s="7">
        <v>345.08</v>
      </c>
      <c r="I55" s="4">
        <v>0.12</v>
      </c>
      <c r="J55" s="7">
        <v>2733.03</v>
      </c>
      <c r="K55" s="7">
        <v>2272.23</v>
      </c>
      <c r="L55" s="7">
        <v>460.8</v>
      </c>
    </row>
    <row r="56" spans="1:12" ht="15" thickBot="1" x14ac:dyDescent="0.35">
      <c r="A56" s="3" t="s">
        <v>90</v>
      </c>
      <c r="B56" s="11">
        <v>45839</v>
      </c>
      <c r="C56" s="3" t="s">
        <v>20</v>
      </c>
      <c r="D56" s="3" t="s">
        <v>51</v>
      </c>
      <c r="E56" s="3" t="s">
        <v>30</v>
      </c>
      <c r="F56" s="3" t="s">
        <v>18</v>
      </c>
      <c r="G56" s="3">
        <v>8</v>
      </c>
      <c r="H56" s="7">
        <v>190.61</v>
      </c>
      <c r="I56" s="4">
        <v>0.05</v>
      </c>
      <c r="J56" s="7">
        <v>1448.64</v>
      </c>
      <c r="K56" s="7">
        <v>920.53</v>
      </c>
      <c r="L56" s="7">
        <v>528.11</v>
      </c>
    </row>
    <row r="57" spans="1:12" ht="15" thickBot="1" x14ac:dyDescent="0.35">
      <c r="A57" s="3" t="s">
        <v>91</v>
      </c>
      <c r="B57" s="11">
        <v>45843</v>
      </c>
      <c r="C57" s="3" t="s">
        <v>29</v>
      </c>
      <c r="D57" s="3" t="s">
        <v>16</v>
      </c>
      <c r="E57" s="3" t="s">
        <v>17</v>
      </c>
      <c r="F57" s="3" t="s">
        <v>18</v>
      </c>
      <c r="G57" s="3">
        <v>14</v>
      </c>
      <c r="H57" s="7">
        <v>653.26</v>
      </c>
      <c r="I57" s="4">
        <v>0.08</v>
      </c>
      <c r="J57" s="7">
        <v>8413.99</v>
      </c>
      <c r="K57" s="7">
        <v>5348.62</v>
      </c>
      <c r="L57" s="7">
        <v>3065.37</v>
      </c>
    </row>
    <row r="58" spans="1:12" ht="15" thickBot="1" x14ac:dyDescent="0.35">
      <c r="A58" s="3" t="s">
        <v>92</v>
      </c>
      <c r="B58" s="11">
        <v>45843</v>
      </c>
      <c r="C58" s="3" t="s">
        <v>20</v>
      </c>
      <c r="D58" s="3" t="s">
        <v>27</v>
      </c>
      <c r="E58" s="3" t="s">
        <v>44</v>
      </c>
      <c r="F58" s="3" t="s">
        <v>18</v>
      </c>
      <c r="G58" s="3">
        <v>9</v>
      </c>
      <c r="H58" s="7">
        <v>214.12</v>
      </c>
      <c r="I58" s="4">
        <v>0.12</v>
      </c>
      <c r="J58" s="7">
        <v>1695.83</v>
      </c>
      <c r="K58" s="7">
        <v>1453.23</v>
      </c>
      <c r="L58" s="7">
        <v>242.6</v>
      </c>
    </row>
    <row r="59" spans="1:12" ht="15" thickBot="1" x14ac:dyDescent="0.35">
      <c r="A59" s="3" t="s">
        <v>93</v>
      </c>
      <c r="B59" s="11">
        <v>45847</v>
      </c>
      <c r="C59" s="3" t="s">
        <v>38</v>
      </c>
      <c r="D59" s="3" t="s">
        <v>55</v>
      </c>
      <c r="E59" s="3" t="s">
        <v>63</v>
      </c>
      <c r="F59" s="3" t="s">
        <v>33</v>
      </c>
      <c r="G59" s="3">
        <v>13</v>
      </c>
      <c r="H59" s="7">
        <v>72.819999999999894</v>
      </c>
      <c r="I59" s="4">
        <v>0.1</v>
      </c>
      <c r="J59" s="7">
        <v>851.99</v>
      </c>
      <c r="K59" s="7">
        <v>654.49</v>
      </c>
      <c r="L59" s="7">
        <v>197.5</v>
      </c>
    </row>
    <row r="60" spans="1:12" ht="15" thickBot="1" x14ac:dyDescent="0.35">
      <c r="A60" s="3" t="s">
        <v>94</v>
      </c>
      <c r="B60" s="11">
        <v>45847</v>
      </c>
      <c r="C60" s="3" t="s">
        <v>20</v>
      </c>
      <c r="D60" s="3" t="s">
        <v>25</v>
      </c>
      <c r="E60" s="3" t="s">
        <v>44</v>
      </c>
      <c r="F60" s="3" t="s">
        <v>18</v>
      </c>
      <c r="G60" s="3">
        <v>15</v>
      </c>
      <c r="H60" s="7">
        <v>236.01</v>
      </c>
      <c r="I60" s="4">
        <v>0.02</v>
      </c>
      <c r="J60" s="7">
        <v>3469.35</v>
      </c>
      <c r="K60" s="7">
        <v>2584.4699999999998</v>
      </c>
      <c r="L60" s="7">
        <v>884.88</v>
      </c>
    </row>
    <row r="61" spans="1:12" ht="15" thickBot="1" x14ac:dyDescent="0.35">
      <c r="A61" s="3" t="s">
        <v>95</v>
      </c>
      <c r="B61" s="11">
        <v>45849</v>
      </c>
      <c r="C61" s="3" t="s">
        <v>20</v>
      </c>
      <c r="D61" s="3" t="s">
        <v>67</v>
      </c>
      <c r="E61" s="3" t="s">
        <v>30</v>
      </c>
      <c r="F61" s="3" t="s">
        <v>18</v>
      </c>
      <c r="G61" s="3">
        <v>14</v>
      </c>
      <c r="H61" s="7">
        <v>190.75</v>
      </c>
      <c r="I61" s="4">
        <v>0.1</v>
      </c>
      <c r="J61" s="7">
        <v>2403.4499999999998</v>
      </c>
      <c r="K61" s="7">
        <v>1644.07</v>
      </c>
      <c r="L61" s="7">
        <v>759.38</v>
      </c>
    </row>
    <row r="62" spans="1:12" ht="15" thickBot="1" x14ac:dyDescent="0.35">
      <c r="A62" s="3" t="s">
        <v>96</v>
      </c>
      <c r="B62" s="11">
        <v>45850</v>
      </c>
      <c r="C62" s="3" t="s">
        <v>29</v>
      </c>
      <c r="D62" s="3" t="s">
        <v>21</v>
      </c>
      <c r="E62" s="3" t="s">
        <v>63</v>
      </c>
      <c r="F62" s="3" t="s">
        <v>33</v>
      </c>
      <c r="G62" s="3">
        <v>1</v>
      </c>
      <c r="H62" s="7">
        <v>90.58</v>
      </c>
      <c r="I62" s="4">
        <v>0.1</v>
      </c>
      <c r="J62" s="7">
        <v>81.52</v>
      </c>
      <c r="K62" s="7">
        <v>70.069999999999894</v>
      </c>
      <c r="L62" s="7">
        <v>11.45</v>
      </c>
    </row>
    <row r="63" spans="1:12" ht="15" thickBot="1" x14ac:dyDescent="0.35">
      <c r="A63" s="3" t="s">
        <v>97</v>
      </c>
      <c r="B63" s="11">
        <v>45852</v>
      </c>
      <c r="C63" s="3" t="s">
        <v>15</v>
      </c>
      <c r="D63" s="3" t="s">
        <v>21</v>
      </c>
      <c r="E63" s="3" t="s">
        <v>35</v>
      </c>
      <c r="F63" s="3" t="s">
        <v>36</v>
      </c>
      <c r="G63" s="3">
        <v>3</v>
      </c>
      <c r="H63" s="7">
        <v>312.68</v>
      </c>
      <c r="I63" s="4">
        <v>0.02</v>
      </c>
      <c r="J63" s="7">
        <v>919.28</v>
      </c>
      <c r="K63" s="7">
        <v>531.49</v>
      </c>
      <c r="L63" s="7">
        <v>387.79</v>
      </c>
    </row>
    <row r="64" spans="1:12" ht="15" thickBot="1" x14ac:dyDescent="0.35">
      <c r="A64" s="3" t="s">
        <v>98</v>
      </c>
      <c r="B64" s="11">
        <v>45852</v>
      </c>
      <c r="C64" s="3" t="s">
        <v>15</v>
      </c>
      <c r="D64" s="3" t="s">
        <v>67</v>
      </c>
      <c r="E64" s="3" t="s">
        <v>59</v>
      </c>
      <c r="F64" s="3" t="s">
        <v>33</v>
      </c>
      <c r="G64" s="3">
        <v>4</v>
      </c>
      <c r="H64" s="7">
        <v>65.260000000000005</v>
      </c>
      <c r="I64" s="4">
        <v>0.1</v>
      </c>
      <c r="J64" s="7">
        <v>234.94</v>
      </c>
      <c r="K64" s="7">
        <v>196.15</v>
      </c>
      <c r="L64" s="7">
        <v>38.79</v>
      </c>
    </row>
    <row r="65" spans="1:12" ht="15" thickBot="1" x14ac:dyDescent="0.35">
      <c r="A65" s="3" t="s">
        <v>99</v>
      </c>
      <c r="B65" s="11">
        <v>45852</v>
      </c>
      <c r="C65" s="3" t="s">
        <v>29</v>
      </c>
      <c r="D65" s="3" t="s">
        <v>39</v>
      </c>
      <c r="E65" s="3" t="s">
        <v>63</v>
      </c>
      <c r="F65" s="3" t="s">
        <v>33</v>
      </c>
      <c r="G65" s="3">
        <v>10</v>
      </c>
      <c r="H65" s="7">
        <v>87.81</v>
      </c>
      <c r="I65" s="4">
        <v>0.02</v>
      </c>
      <c r="J65" s="7">
        <v>860.54</v>
      </c>
      <c r="K65" s="7">
        <v>707.73</v>
      </c>
      <c r="L65" s="7">
        <v>152.81</v>
      </c>
    </row>
    <row r="66" spans="1:12" ht="15" thickBot="1" x14ac:dyDescent="0.35">
      <c r="A66" s="3" t="s">
        <v>100</v>
      </c>
      <c r="B66" s="11">
        <v>45854</v>
      </c>
      <c r="C66" s="3" t="s">
        <v>29</v>
      </c>
      <c r="D66" s="3" t="s">
        <v>25</v>
      </c>
      <c r="E66" s="3" t="s">
        <v>35</v>
      </c>
      <c r="F66" s="3" t="s">
        <v>36</v>
      </c>
      <c r="G66" s="3">
        <v>15</v>
      </c>
      <c r="H66" s="7">
        <v>296.08</v>
      </c>
      <c r="I66" s="4">
        <v>0.02</v>
      </c>
      <c r="J66" s="7">
        <v>4352.38</v>
      </c>
      <c r="K66" s="7">
        <v>3495.46</v>
      </c>
      <c r="L66" s="7">
        <v>856.92</v>
      </c>
    </row>
    <row r="67" spans="1:12" ht="15" thickBot="1" x14ac:dyDescent="0.35">
      <c r="A67" s="3" t="s">
        <v>101</v>
      </c>
      <c r="B67" s="11">
        <v>45857</v>
      </c>
      <c r="C67" s="3" t="s">
        <v>29</v>
      </c>
      <c r="D67" s="3" t="s">
        <v>21</v>
      </c>
      <c r="E67" s="3" t="s">
        <v>63</v>
      </c>
      <c r="F67" s="3" t="s">
        <v>33</v>
      </c>
      <c r="G67" s="3">
        <v>7</v>
      </c>
      <c r="H67" s="7">
        <v>81.540000000000006</v>
      </c>
      <c r="I67" s="4">
        <v>0.05</v>
      </c>
      <c r="J67" s="7">
        <v>542.24</v>
      </c>
      <c r="K67" s="7">
        <v>370.17</v>
      </c>
      <c r="L67" s="7">
        <v>172.07</v>
      </c>
    </row>
    <row r="68" spans="1:12" ht="15" thickBot="1" x14ac:dyDescent="0.35">
      <c r="A68" s="3" t="s">
        <v>102</v>
      </c>
      <c r="B68" s="11">
        <v>45859</v>
      </c>
      <c r="C68" s="3" t="s">
        <v>38</v>
      </c>
      <c r="D68" s="3" t="s">
        <v>27</v>
      </c>
      <c r="E68" s="3" t="s">
        <v>59</v>
      </c>
      <c r="F68" s="3" t="s">
        <v>33</v>
      </c>
      <c r="G68" s="3">
        <v>15</v>
      </c>
      <c r="H68" s="7">
        <v>55.91</v>
      </c>
      <c r="I68" s="4">
        <v>0.1</v>
      </c>
      <c r="J68" s="7">
        <v>754.78</v>
      </c>
      <c r="K68" s="7">
        <v>609.08000000000004</v>
      </c>
      <c r="L68" s="7">
        <v>145.69999999999999</v>
      </c>
    </row>
    <row r="69" spans="1:12" ht="15" thickBot="1" x14ac:dyDescent="0.35">
      <c r="A69" s="3" t="s">
        <v>103</v>
      </c>
      <c r="B69" s="11">
        <v>45862</v>
      </c>
      <c r="C69" s="3" t="s">
        <v>15</v>
      </c>
      <c r="D69" s="3" t="s">
        <v>39</v>
      </c>
      <c r="E69" s="3" t="s">
        <v>23</v>
      </c>
      <c r="F69" s="3" t="s">
        <v>18</v>
      </c>
      <c r="G69" s="3">
        <v>13</v>
      </c>
      <c r="H69" s="7">
        <v>378.87</v>
      </c>
      <c r="I69" s="4">
        <v>0.02</v>
      </c>
      <c r="J69" s="7">
        <v>4826.8</v>
      </c>
      <c r="K69" s="7">
        <v>3867.71</v>
      </c>
      <c r="L69" s="7">
        <v>959.09</v>
      </c>
    </row>
    <row r="70" spans="1:12" ht="15" thickBot="1" x14ac:dyDescent="0.35">
      <c r="A70" s="3" t="s">
        <v>104</v>
      </c>
      <c r="B70" s="11">
        <v>45866</v>
      </c>
      <c r="C70" s="3" t="s">
        <v>20</v>
      </c>
      <c r="D70" s="3" t="s">
        <v>21</v>
      </c>
      <c r="E70" s="3" t="s">
        <v>46</v>
      </c>
      <c r="F70" s="3" t="s">
        <v>33</v>
      </c>
      <c r="G70" s="3">
        <v>11</v>
      </c>
      <c r="H70" s="7">
        <v>23.14</v>
      </c>
      <c r="I70" s="4">
        <v>0.15</v>
      </c>
      <c r="J70" s="7">
        <v>216.36</v>
      </c>
      <c r="K70" s="7">
        <v>187.03</v>
      </c>
      <c r="L70" s="7">
        <v>29.33</v>
      </c>
    </row>
    <row r="71" spans="1:12" ht="15" thickBot="1" x14ac:dyDescent="0.35">
      <c r="A71" s="3" t="s">
        <v>105</v>
      </c>
      <c r="B71" s="11">
        <v>45873</v>
      </c>
      <c r="C71" s="3" t="s">
        <v>15</v>
      </c>
      <c r="D71" s="3" t="s">
        <v>27</v>
      </c>
      <c r="E71" s="3" t="s">
        <v>59</v>
      </c>
      <c r="F71" s="3" t="s">
        <v>33</v>
      </c>
      <c r="G71" s="3">
        <v>6</v>
      </c>
      <c r="H71" s="7">
        <v>59.06</v>
      </c>
      <c r="I71" s="4">
        <v>0.08</v>
      </c>
      <c r="J71" s="7">
        <v>326.01</v>
      </c>
      <c r="K71" s="7">
        <v>227.44</v>
      </c>
      <c r="L71" s="7">
        <v>98.569999999999894</v>
      </c>
    </row>
    <row r="72" spans="1:12" ht="15" thickBot="1" x14ac:dyDescent="0.35">
      <c r="A72" s="3" t="s">
        <v>106</v>
      </c>
      <c r="B72" s="11">
        <v>45873</v>
      </c>
      <c r="C72" s="3" t="s">
        <v>29</v>
      </c>
      <c r="D72" s="3" t="s">
        <v>67</v>
      </c>
      <c r="E72" s="3" t="s">
        <v>35</v>
      </c>
      <c r="F72" s="3" t="s">
        <v>36</v>
      </c>
      <c r="G72" s="3">
        <v>6</v>
      </c>
      <c r="H72" s="7">
        <v>289.98</v>
      </c>
      <c r="I72" s="4">
        <v>0.08</v>
      </c>
      <c r="J72" s="7">
        <v>1600.69</v>
      </c>
      <c r="K72" s="7">
        <v>992.67999999999904</v>
      </c>
      <c r="L72" s="7">
        <v>608.01</v>
      </c>
    </row>
    <row r="73" spans="1:12" ht="15" thickBot="1" x14ac:dyDescent="0.35">
      <c r="A73" s="3" t="s">
        <v>107</v>
      </c>
      <c r="B73" s="11">
        <v>45878</v>
      </c>
      <c r="C73" s="3" t="s">
        <v>15</v>
      </c>
      <c r="D73" s="3" t="s">
        <v>25</v>
      </c>
      <c r="E73" s="3" t="s">
        <v>59</v>
      </c>
      <c r="F73" s="3" t="s">
        <v>33</v>
      </c>
      <c r="G73" s="3">
        <v>13</v>
      </c>
      <c r="H73" s="7">
        <v>60.11</v>
      </c>
      <c r="I73" s="4">
        <v>0</v>
      </c>
      <c r="J73" s="7">
        <v>781.42999999999904</v>
      </c>
      <c r="K73" s="7">
        <v>454.78</v>
      </c>
      <c r="L73" s="7">
        <v>326.64999999999998</v>
      </c>
    </row>
    <row r="74" spans="1:12" ht="15" thickBot="1" x14ac:dyDescent="0.35">
      <c r="A74" s="3" t="s">
        <v>108</v>
      </c>
      <c r="B74" s="11">
        <v>45881</v>
      </c>
      <c r="C74" s="3" t="s">
        <v>38</v>
      </c>
      <c r="D74" s="3" t="s">
        <v>21</v>
      </c>
      <c r="E74" s="3" t="s">
        <v>35</v>
      </c>
      <c r="F74" s="3" t="s">
        <v>36</v>
      </c>
      <c r="G74" s="3">
        <v>15</v>
      </c>
      <c r="H74" s="7">
        <v>292.36</v>
      </c>
      <c r="I74" s="4">
        <v>0.05</v>
      </c>
      <c r="J74" s="7">
        <v>4166.13</v>
      </c>
      <c r="K74" s="7">
        <v>2476.21</v>
      </c>
      <c r="L74" s="7">
        <v>1689.92</v>
      </c>
    </row>
    <row r="75" spans="1:12" ht="15" thickBot="1" x14ac:dyDescent="0.35">
      <c r="A75" s="3" t="s">
        <v>109</v>
      </c>
      <c r="B75" s="11">
        <v>45893</v>
      </c>
      <c r="C75" s="3" t="s">
        <v>38</v>
      </c>
      <c r="D75" s="3" t="s">
        <v>25</v>
      </c>
      <c r="E75" s="3" t="s">
        <v>53</v>
      </c>
      <c r="F75" s="3" t="s">
        <v>36</v>
      </c>
      <c r="G75" s="3">
        <v>14</v>
      </c>
      <c r="H75" s="7">
        <v>147.9</v>
      </c>
      <c r="I75" s="4">
        <v>0.05</v>
      </c>
      <c r="J75" s="7">
        <v>1967.07</v>
      </c>
      <c r="K75" s="7">
        <v>1690.34</v>
      </c>
      <c r="L75" s="7">
        <v>276.73</v>
      </c>
    </row>
    <row r="76" spans="1:12" ht="15" thickBot="1" x14ac:dyDescent="0.35">
      <c r="A76" s="3" t="s">
        <v>110</v>
      </c>
      <c r="B76" s="11">
        <v>45896</v>
      </c>
      <c r="C76" s="3" t="s">
        <v>15</v>
      </c>
      <c r="D76" s="3" t="s">
        <v>55</v>
      </c>
      <c r="E76" s="3" t="s">
        <v>32</v>
      </c>
      <c r="F76" s="3" t="s">
        <v>33</v>
      </c>
      <c r="G76" s="3">
        <v>8</v>
      </c>
      <c r="H76" s="7">
        <v>48.03</v>
      </c>
      <c r="I76" s="4">
        <v>0.1</v>
      </c>
      <c r="J76" s="7">
        <v>345.82</v>
      </c>
      <c r="K76" s="7">
        <v>331.51</v>
      </c>
      <c r="L76" s="7">
        <v>14.31</v>
      </c>
    </row>
    <row r="77" spans="1:12" ht="15" thickBot="1" x14ac:dyDescent="0.35">
      <c r="A77" s="3" t="s">
        <v>111</v>
      </c>
      <c r="B77" s="11">
        <v>45897</v>
      </c>
      <c r="C77" s="3" t="s">
        <v>15</v>
      </c>
      <c r="D77" s="3" t="s">
        <v>67</v>
      </c>
      <c r="E77" s="3" t="s">
        <v>35</v>
      </c>
      <c r="F77" s="3" t="s">
        <v>36</v>
      </c>
      <c r="G77" s="3">
        <v>10</v>
      </c>
      <c r="H77" s="7">
        <v>256.45</v>
      </c>
      <c r="I77" s="4">
        <v>0.08</v>
      </c>
      <c r="J77" s="7">
        <v>2359.34</v>
      </c>
      <c r="K77" s="7">
        <v>1914.77</v>
      </c>
      <c r="L77" s="7">
        <v>444.57</v>
      </c>
    </row>
    <row r="78" spans="1:12" ht="15" thickBot="1" x14ac:dyDescent="0.35">
      <c r="A78" s="3" t="s">
        <v>112</v>
      </c>
      <c r="B78" s="11">
        <v>45906</v>
      </c>
      <c r="C78" s="3" t="s">
        <v>38</v>
      </c>
      <c r="D78" s="3" t="s">
        <v>16</v>
      </c>
      <c r="E78" s="3" t="s">
        <v>46</v>
      </c>
      <c r="F78" s="3" t="s">
        <v>33</v>
      </c>
      <c r="G78" s="3">
        <v>15</v>
      </c>
      <c r="H78" s="7">
        <v>26.05</v>
      </c>
      <c r="I78" s="4">
        <v>0</v>
      </c>
      <c r="J78" s="7">
        <v>390.75</v>
      </c>
      <c r="K78" s="7">
        <v>225.96</v>
      </c>
      <c r="L78" s="7">
        <v>164.79</v>
      </c>
    </row>
    <row r="79" spans="1:12" ht="15" thickBot="1" x14ac:dyDescent="0.35">
      <c r="A79" s="3" t="s">
        <v>113</v>
      </c>
      <c r="B79" s="11">
        <v>45917</v>
      </c>
      <c r="C79" s="3" t="s">
        <v>15</v>
      </c>
      <c r="D79" s="3" t="s">
        <v>16</v>
      </c>
      <c r="E79" s="3" t="s">
        <v>63</v>
      </c>
      <c r="F79" s="3" t="s">
        <v>33</v>
      </c>
      <c r="G79" s="3">
        <v>10</v>
      </c>
      <c r="H79" s="7">
        <v>91.92</v>
      </c>
      <c r="I79" s="4">
        <v>0</v>
      </c>
      <c r="J79" s="7">
        <v>919.2</v>
      </c>
      <c r="K79" s="7">
        <v>668.64</v>
      </c>
      <c r="L79" s="7">
        <v>250.56</v>
      </c>
    </row>
    <row r="80" spans="1:12" ht="15" thickBot="1" x14ac:dyDescent="0.35">
      <c r="A80" s="3" t="s">
        <v>114</v>
      </c>
      <c r="B80" s="11">
        <v>45926</v>
      </c>
      <c r="C80" s="3" t="s">
        <v>15</v>
      </c>
      <c r="D80" s="3" t="s">
        <v>27</v>
      </c>
      <c r="E80" s="3" t="s">
        <v>46</v>
      </c>
      <c r="F80" s="3" t="s">
        <v>33</v>
      </c>
      <c r="G80" s="3">
        <v>12</v>
      </c>
      <c r="H80" s="7">
        <v>25.53</v>
      </c>
      <c r="I80" s="4">
        <v>0.12</v>
      </c>
      <c r="J80" s="7">
        <v>269.60000000000002</v>
      </c>
      <c r="K80" s="7">
        <v>228.1</v>
      </c>
      <c r="L80" s="7">
        <v>41.5</v>
      </c>
    </row>
    <row r="81" spans="1:12" ht="15" thickBot="1" x14ac:dyDescent="0.35">
      <c r="A81" s="3" t="s">
        <v>115</v>
      </c>
      <c r="B81" s="11">
        <v>45928</v>
      </c>
      <c r="C81" s="3" t="s">
        <v>29</v>
      </c>
      <c r="D81" s="3" t="s">
        <v>21</v>
      </c>
      <c r="E81" s="3" t="s">
        <v>32</v>
      </c>
      <c r="F81" s="3" t="s">
        <v>33</v>
      </c>
      <c r="G81" s="3">
        <v>11</v>
      </c>
      <c r="H81" s="7">
        <v>45.85</v>
      </c>
      <c r="I81" s="4">
        <v>0.1</v>
      </c>
      <c r="J81" s="7">
        <v>453.92</v>
      </c>
      <c r="K81" s="7">
        <v>304.88</v>
      </c>
      <c r="L81" s="7">
        <v>149.04</v>
      </c>
    </row>
    <row r="82" spans="1:12" ht="15" thickBot="1" x14ac:dyDescent="0.35">
      <c r="A82" s="3" t="s">
        <v>116</v>
      </c>
      <c r="B82" s="11">
        <v>45929</v>
      </c>
      <c r="C82" s="3" t="s">
        <v>20</v>
      </c>
      <c r="D82" s="3" t="s">
        <v>67</v>
      </c>
      <c r="E82" s="3" t="s">
        <v>17</v>
      </c>
      <c r="F82" s="3" t="s">
        <v>18</v>
      </c>
      <c r="G82" s="3">
        <v>1</v>
      </c>
      <c r="H82" s="7">
        <v>679.92999999999904</v>
      </c>
      <c r="I82" s="4">
        <v>0.1</v>
      </c>
      <c r="J82" s="7">
        <v>611.94000000000005</v>
      </c>
      <c r="K82" s="7">
        <v>580.25</v>
      </c>
      <c r="L82" s="7">
        <v>31.69</v>
      </c>
    </row>
    <row r="83" spans="1:12" ht="15" thickBot="1" x14ac:dyDescent="0.35">
      <c r="A83" s="3" t="s">
        <v>117</v>
      </c>
      <c r="B83" s="11">
        <v>45933</v>
      </c>
      <c r="C83" s="3" t="s">
        <v>29</v>
      </c>
      <c r="D83" s="3" t="s">
        <v>39</v>
      </c>
      <c r="E83" s="3" t="s">
        <v>35</v>
      </c>
      <c r="F83" s="3" t="s">
        <v>36</v>
      </c>
      <c r="G83" s="3">
        <v>3</v>
      </c>
      <c r="H83" s="7">
        <v>303.37</v>
      </c>
      <c r="I83" s="4">
        <v>0.12</v>
      </c>
      <c r="J83" s="7">
        <v>800.9</v>
      </c>
      <c r="K83" s="7">
        <v>581.67999999999904</v>
      </c>
      <c r="L83" s="7">
        <v>219.22</v>
      </c>
    </row>
    <row r="84" spans="1:12" ht="15" thickBot="1" x14ac:dyDescent="0.35">
      <c r="A84" s="3" t="s">
        <v>118</v>
      </c>
      <c r="B84" s="11">
        <v>45935</v>
      </c>
      <c r="C84" s="3" t="s">
        <v>38</v>
      </c>
      <c r="D84" s="3" t="s">
        <v>55</v>
      </c>
      <c r="E84" s="3" t="s">
        <v>32</v>
      </c>
      <c r="F84" s="3" t="s">
        <v>33</v>
      </c>
      <c r="G84" s="3">
        <v>4</v>
      </c>
      <c r="H84" s="7">
        <v>43.84</v>
      </c>
      <c r="I84" s="4">
        <v>0</v>
      </c>
      <c r="J84" s="7">
        <v>175.36</v>
      </c>
      <c r="K84" s="7">
        <v>129.96</v>
      </c>
      <c r="L84" s="7">
        <v>45.4</v>
      </c>
    </row>
    <row r="85" spans="1:12" ht="15" thickBot="1" x14ac:dyDescent="0.35">
      <c r="A85" s="3" t="s">
        <v>119</v>
      </c>
      <c r="B85" s="11">
        <v>45938</v>
      </c>
      <c r="C85" s="3" t="s">
        <v>29</v>
      </c>
      <c r="D85" s="3" t="s">
        <v>16</v>
      </c>
      <c r="E85" s="3" t="s">
        <v>63</v>
      </c>
      <c r="F85" s="3" t="s">
        <v>33</v>
      </c>
      <c r="G85" s="3">
        <v>14</v>
      </c>
      <c r="H85" s="7">
        <v>86.39</v>
      </c>
      <c r="I85" s="4">
        <v>0.1</v>
      </c>
      <c r="J85" s="7">
        <v>1088.51</v>
      </c>
      <c r="K85" s="7">
        <v>835.52</v>
      </c>
      <c r="L85" s="7">
        <v>252.99</v>
      </c>
    </row>
    <row r="86" spans="1:12" ht="15" thickBot="1" x14ac:dyDescent="0.35">
      <c r="A86" s="3" t="s">
        <v>120</v>
      </c>
      <c r="B86" s="11">
        <v>45941</v>
      </c>
      <c r="C86" s="3" t="s">
        <v>15</v>
      </c>
      <c r="D86" s="3" t="s">
        <v>27</v>
      </c>
      <c r="E86" s="3" t="s">
        <v>63</v>
      </c>
      <c r="F86" s="3" t="s">
        <v>33</v>
      </c>
      <c r="G86" s="3">
        <v>13</v>
      </c>
      <c r="H86" s="7">
        <v>85.08</v>
      </c>
      <c r="I86" s="4">
        <v>0</v>
      </c>
      <c r="J86" s="7">
        <v>1106.04</v>
      </c>
      <c r="K86" s="7">
        <v>852.09</v>
      </c>
      <c r="L86" s="7">
        <v>253.95</v>
      </c>
    </row>
    <row r="87" spans="1:12" ht="15" thickBot="1" x14ac:dyDescent="0.35">
      <c r="A87" s="3" t="s">
        <v>121</v>
      </c>
      <c r="B87" s="11">
        <v>45943</v>
      </c>
      <c r="C87" s="3" t="s">
        <v>20</v>
      </c>
      <c r="D87" s="3" t="s">
        <v>27</v>
      </c>
      <c r="E87" s="3" t="s">
        <v>32</v>
      </c>
      <c r="F87" s="3" t="s">
        <v>33</v>
      </c>
      <c r="G87" s="3">
        <v>13</v>
      </c>
      <c r="H87" s="7">
        <v>51.28</v>
      </c>
      <c r="I87" s="4">
        <v>0.1</v>
      </c>
      <c r="J87" s="7">
        <v>599.98</v>
      </c>
      <c r="K87" s="7">
        <v>468.85</v>
      </c>
      <c r="L87" s="7">
        <v>131.13</v>
      </c>
    </row>
    <row r="88" spans="1:12" ht="15" thickBot="1" x14ac:dyDescent="0.35">
      <c r="A88" s="3" t="s">
        <v>122</v>
      </c>
      <c r="B88" s="11">
        <v>45944</v>
      </c>
      <c r="C88" s="3" t="s">
        <v>15</v>
      </c>
      <c r="D88" s="3" t="s">
        <v>39</v>
      </c>
      <c r="E88" s="3" t="s">
        <v>59</v>
      </c>
      <c r="F88" s="3" t="s">
        <v>33</v>
      </c>
      <c r="G88" s="3">
        <v>3</v>
      </c>
      <c r="H88" s="7">
        <v>66.02</v>
      </c>
      <c r="I88" s="4">
        <v>0.12</v>
      </c>
      <c r="J88" s="7">
        <v>174.29</v>
      </c>
      <c r="K88" s="7">
        <v>143.65</v>
      </c>
      <c r="L88" s="7">
        <v>30.64</v>
      </c>
    </row>
    <row r="89" spans="1:12" ht="15" thickBot="1" x14ac:dyDescent="0.35">
      <c r="A89" s="3" t="s">
        <v>123</v>
      </c>
      <c r="B89" s="11">
        <v>45945</v>
      </c>
      <c r="C89" s="3" t="s">
        <v>38</v>
      </c>
      <c r="D89" s="3" t="s">
        <v>27</v>
      </c>
      <c r="E89" s="3" t="s">
        <v>30</v>
      </c>
      <c r="F89" s="3" t="s">
        <v>18</v>
      </c>
      <c r="G89" s="3">
        <v>3</v>
      </c>
      <c r="H89" s="7">
        <v>195.36</v>
      </c>
      <c r="I89" s="4">
        <v>0.1</v>
      </c>
      <c r="J89" s="7">
        <v>527.47</v>
      </c>
      <c r="K89" s="7">
        <v>458.82</v>
      </c>
      <c r="L89" s="7">
        <v>68.650000000000006</v>
      </c>
    </row>
    <row r="90" spans="1:12" ht="15" thickBot="1" x14ac:dyDescent="0.35">
      <c r="A90" s="3" t="s">
        <v>124</v>
      </c>
      <c r="B90" s="11">
        <v>45948</v>
      </c>
      <c r="C90" s="3" t="s">
        <v>15</v>
      </c>
      <c r="D90" s="3" t="s">
        <v>21</v>
      </c>
      <c r="E90" s="3" t="s">
        <v>17</v>
      </c>
      <c r="F90" s="3" t="s">
        <v>18</v>
      </c>
      <c r="G90" s="3">
        <v>13</v>
      </c>
      <c r="H90" s="7">
        <v>636.26</v>
      </c>
      <c r="I90" s="4">
        <v>0.05</v>
      </c>
      <c r="J90" s="7">
        <v>7857.81</v>
      </c>
      <c r="K90" s="7">
        <v>4729.92</v>
      </c>
      <c r="L90" s="7">
        <v>3127.89</v>
      </c>
    </row>
    <row r="91" spans="1:12" ht="15" thickBot="1" x14ac:dyDescent="0.35">
      <c r="A91" s="3" t="s">
        <v>125</v>
      </c>
      <c r="B91" s="11">
        <v>45953</v>
      </c>
      <c r="C91" s="3" t="s">
        <v>38</v>
      </c>
      <c r="D91" s="3" t="s">
        <v>16</v>
      </c>
      <c r="E91" s="3" t="s">
        <v>59</v>
      </c>
      <c r="F91" s="3" t="s">
        <v>33</v>
      </c>
      <c r="G91" s="3">
        <v>2</v>
      </c>
      <c r="H91" s="7">
        <v>66.33</v>
      </c>
      <c r="I91" s="4">
        <v>0.08</v>
      </c>
      <c r="J91" s="7">
        <v>122.05</v>
      </c>
      <c r="K91" s="7">
        <v>94.489999999999895</v>
      </c>
      <c r="L91" s="7">
        <v>27.56</v>
      </c>
    </row>
    <row r="92" spans="1:12" ht="15" thickBot="1" x14ac:dyDescent="0.35">
      <c r="A92" s="3" t="s">
        <v>126</v>
      </c>
      <c r="B92" s="11">
        <v>45954</v>
      </c>
      <c r="C92" s="3" t="s">
        <v>15</v>
      </c>
      <c r="D92" s="3" t="s">
        <v>39</v>
      </c>
      <c r="E92" s="3" t="s">
        <v>23</v>
      </c>
      <c r="F92" s="3" t="s">
        <v>18</v>
      </c>
      <c r="G92" s="3">
        <v>14</v>
      </c>
      <c r="H92" s="7">
        <v>315.04000000000002</v>
      </c>
      <c r="I92" s="4">
        <v>0.05</v>
      </c>
      <c r="J92" s="7">
        <v>4190.03</v>
      </c>
      <c r="K92" s="7">
        <v>2731.73</v>
      </c>
      <c r="L92" s="7">
        <v>1458.3</v>
      </c>
    </row>
    <row r="93" spans="1:12" ht="15" thickBot="1" x14ac:dyDescent="0.35">
      <c r="A93" s="3" t="s">
        <v>127</v>
      </c>
      <c r="B93" s="11">
        <v>45956</v>
      </c>
      <c r="C93" s="3" t="s">
        <v>29</v>
      </c>
      <c r="D93" s="3" t="s">
        <v>55</v>
      </c>
      <c r="E93" s="3" t="s">
        <v>23</v>
      </c>
      <c r="F93" s="3" t="s">
        <v>18</v>
      </c>
      <c r="G93" s="3">
        <v>9</v>
      </c>
      <c r="H93" s="7">
        <v>337.99</v>
      </c>
      <c r="I93" s="4">
        <v>0.1</v>
      </c>
      <c r="J93" s="7">
        <v>2737.72</v>
      </c>
      <c r="K93" s="7">
        <v>2103.13</v>
      </c>
      <c r="L93" s="7">
        <v>634.59</v>
      </c>
    </row>
    <row r="94" spans="1:12" ht="15" thickBot="1" x14ac:dyDescent="0.35">
      <c r="A94" s="3" t="s">
        <v>128</v>
      </c>
      <c r="B94" s="11">
        <v>45970</v>
      </c>
      <c r="C94" s="3" t="s">
        <v>38</v>
      </c>
      <c r="D94" s="3" t="s">
        <v>39</v>
      </c>
      <c r="E94" s="3" t="s">
        <v>46</v>
      </c>
      <c r="F94" s="3" t="s">
        <v>33</v>
      </c>
      <c r="G94" s="3">
        <v>3</v>
      </c>
      <c r="H94" s="7">
        <v>22.65</v>
      </c>
      <c r="I94" s="4">
        <v>0.02</v>
      </c>
      <c r="J94" s="7">
        <v>66.59</v>
      </c>
      <c r="K94" s="7">
        <v>59.44</v>
      </c>
      <c r="L94" s="7">
        <v>7.15</v>
      </c>
    </row>
    <row r="95" spans="1:12" ht="15" thickBot="1" x14ac:dyDescent="0.35">
      <c r="A95" s="3" t="s">
        <v>129</v>
      </c>
      <c r="B95" s="11">
        <v>45975</v>
      </c>
      <c r="C95" s="3" t="s">
        <v>38</v>
      </c>
      <c r="D95" s="3" t="s">
        <v>25</v>
      </c>
      <c r="E95" s="3" t="s">
        <v>44</v>
      </c>
      <c r="F95" s="3" t="s">
        <v>18</v>
      </c>
      <c r="G95" s="3">
        <v>15</v>
      </c>
      <c r="H95" s="7">
        <v>229.33</v>
      </c>
      <c r="I95" s="4">
        <v>0.1</v>
      </c>
      <c r="J95" s="7">
        <v>3095.96</v>
      </c>
      <c r="K95" s="7">
        <v>2566.86</v>
      </c>
      <c r="L95" s="7">
        <v>529.1</v>
      </c>
    </row>
    <row r="96" spans="1:12" ht="15" thickBot="1" x14ac:dyDescent="0.35">
      <c r="A96" s="3" t="s">
        <v>130</v>
      </c>
      <c r="B96" s="11">
        <v>45977</v>
      </c>
      <c r="C96" s="3" t="s">
        <v>15</v>
      </c>
      <c r="D96" s="3" t="s">
        <v>27</v>
      </c>
      <c r="E96" s="3" t="s">
        <v>53</v>
      </c>
      <c r="F96" s="3" t="s">
        <v>36</v>
      </c>
      <c r="G96" s="3">
        <v>7</v>
      </c>
      <c r="H96" s="7">
        <v>137.62</v>
      </c>
      <c r="I96" s="4">
        <v>0.12</v>
      </c>
      <c r="J96" s="7">
        <v>847.74</v>
      </c>
      <c r="K96" s="7">
        <v>822.55</v>
      </c>
      <c r="L96" s="7">
        <v>25.19</v>
      </c>
    </row>
    <row r="97" spans="1:12" ht="15" thickBot="1" x14ac:dyDescent="0.35">
      <c r="A97" s="3" t="s">
        <v>131</v>
      </c>
      <c r="B97" s="11">
        <v>45984</v>
      </c>
      <c r="C97" s="3" t="s">
        <v>29</v>
      </c>
      <c r="D97" s="3" t="s">
        <v>27</v>
      </c>
      <c r="E97" s="3" t="s">
        <v>17</v>
      </c>
      <c r="F97" s="3" t="s">
        <v>18</v>
      </c>
      <c r="G97" s="3">
        <v>1</v>
      </c>
      <c r="H97" s="7">
        <v>674.92</v>
      </c>
      <c r="I97" s="4">
        <v>0.12</v>
      </c>
      <c r="J97" s="7">
        <v>593.92999999999904</v>
      </c>
      <c r="K97" s="7">
        <v>581.48</v>
      </c>
      <c r="L97" s="7">
        <v>12.45</v>
      </c>
    </row>
    <row r="98" spans="1:12" ht="15" thickBot="1" x14ac:dyDescent="0.35">
      <c r="A98" s="3" t="s">
        <v>132</v>
      </c>
      <c r="B98" s="11">
        <v>45986</v>
      </c>
      <c r="C98" s="3" t="s">
        <v>15</v>
      </c>
      <c r="D98" s="3" t="s">
        <v>27</v>
      </c>
      <c r="E98" s="3" t="s">
        <v>44</v>
      </c>
      <c r="F98" s="3" t="s">
        <v>18</v>
      </c>
      <c r="G98" s="3">
        <v>11</v>
      </c>
      <c r="H98" s="7">
        <v>246.66</v>
      </c>
      <c r="I98" s="4">
        <v>0.15</v>
      </c>
      <c r="J98" s="7">
        <v>2306.27</v>
      </c>
      <c r="K98" s="7">
        <v>1731.2</v>
      </c>
      <c r="L98" s="7">
        <v>575.07000000000005</v>
      </c>
    </row>
    <row r="99" spans="1:12" ht="15" thickBot="1" x14ac:dyDescent="0.35">
      <c r="A99" s="3" t="s">
        <v>133</v>
      </c>
      <c r="B99" s="11">
        <v>45988</v>
      </c>
      <c r="C99" s="3" t="s">
        <v>38</v>
      </c>
      <c r="D99" s="3" t="s">
        <v>67</v>
      </c>
      <c r="E99" s="3" t="s">
        <v>35</v>
      </c>
      <c r="F99" s="3" t="s">
        <v>36</v>
      </c>
      <c r="G99" s="3">
        <v>8</v>
      </c>
      <c r="H99" s="7">
        <v>312.47000000000003</v>
      </c>
      <c r="I99" s="4">
        <v>0</v>
      </c>
      <c r="J99" s="7">
        <v>2499.7600000000002</v>
      </c>
      <c r="K99" s="7">
        <v>1930.34</v>
      </c>
      <c r="L99" s="7">
        <v>569.41999999999996</v>
      </c>
    </row>
    <row r="100" spans="1:12" ht="15" thickBot="1" x14ac:dyDescent="0.35">
      <c r="A100" s="3" t="s">
        <v>134</v>
      </c>
      <c r="B100" s="11">
        <v>45988</v>
      </c>
      <c r="C100" s="3" t="s">
        <v>29</v>
      </c>
      <c r="D100" s="3" t="s">
        <v>39</v>
      </c>
      <c r="E100" s="3" t="s">
        <v>35</v>
      </c>
      <c r="F100" s="3" t="s">
        <v>36</v>
      </c>
      <c r="G100" s="3">
        <v>8</v>
      </c>
      <c r="H100" s="7">
        <v>290.86</v>
      </c>
      <c r="I100" s="4">
        <v>0.02</v>
      </c>
      <c r="J100" s="7">
        <v>2280.34</v>
      </c>
      <c r="K100" s="7">
        <v>1810.08</v>
      </c>
      <c r="L100" s="7">
        <v>470.26</v>
      </c>
    </row>
    <row r="101" spans="1:12" ht="15" thickBot="1" x14ac:dyDescent="0.35">
      <c r="A101" s="3" t="s">
        <v>135</v>
      </c>
      <c r="B101" s="11">
        <v>46003</v>
      </c>
      <c r="C101" s="3" t="s">
        <v>20</v>
      </c>
      <c r="D101" s="3" t="s">
        <v>25</v>
      </c>
      <c r="E101" s="3" t="s">
        <v>23</v>
      </c>
      <c r="F101" s="3" t="s">
        <v>18</v>
      </c>
      <c r="G101" s="3">
        <v>2</v>
      </c>
      <c r="H101" s="7">
        <v>389.49</v>
      </c>
      <c r="I101" s="4">
        <v>0</v>
      </c>
      <c r="J101" s="7">
        <v>778.98</v>
      </c>
      <c r="K101" s="7">
        <v>581.4</v>
      </c>
      <c r="L101" s="7">
        <v>197.58</v>
      </c>
    </row>
    <row r="102" spans="1:12" ht="15" thickBot="1" x14ac:dyDescent="0.35">
      <c r="A102" s="3" t="s">
        <v>136</v>
      </c>
      <c r="B102" s="11">
        <v>46014</v>
      </c>
      <c r="C102" s="3" t="s">
        <v>15</v>
      </c>
      <c r="D102" s="3" t="s">
        <v>27</v>
      </c>
      <c r="E102" s="3" t="s">
        <v>44</v>
      </c>
      <c r="F102" s="3" t="s">
        <v>18</v>
      </c>
      <c r="G102" s="3">
        <v>10</v>
      </c>
      <c r="H102" s="7">
        <v>235.98</v>
      </c>
      <c r="I102" s="4">
        <v>0.12</v>
      </c>
      <c r="J102" s="7">
        <v>2076.62</v>
      </c>
      <c r="K102" s="7">
        <v>1487.01</v>
      </c>
      <c r="L102" s="7">
        <v>589.61</v>
      </c>
    </row>
    <row r="103" spans="1:12" ht="15" thickBot="1" x14ac:dyDescent="0.35">
      <c r="A103" s="3" t="s">
        <v>137</v>
      </c>
      <c r="B103" s="11">
        <v>46014</v>
      </c>
      <c r="C103" s="3" t="s">
        <v>15</v>
      </c>
      <c r="D103" s="3" t="s">
        <v>16</v>
      </c>
      <c r="E103" s="3" t="s">
        <v>30</v>
      </c>
      <c r="F103" s="3" t="s">
        <v>18</v>
      </c>
      <c r="G103" s="3">
        <v>9</v>
      </c>
      <c r="H103" s="7">
        <v>175.92</v>
      </c>
      <c r="I103" s="4">
        <v>0.08</v>
      </c>
      <c r="J103" s="7">
        <v>1456.62</v>
      </c>
      <c r="K103" s="7">
        <v>1041.23</v>
      </c>
      <c r="L103" s="7">
        <v>415.39</v>
      </c>
    </row>
    <row r="104" spans="1:12" x14ac:dyDescent="0.3">
      <c r="A104" s="1" t="s">
        <v>138</v>
      </c>
      <c r="B104" s="12">
        <v>46020</v>
      </c>
      <c r="C104" s="1" t="s">
        <v>20</v>
      </c>
      <c r="D104" s="1" t="s">
        <v>51</v>
      </c>
      <c r="E104" s="1" t="s">
        <v>46</v>
      </c>
      <c r="F104" s="1" t="s">
        <v>33</v>
      </c>
      <c r="G104" s="1">
        <v>5</v>
      </c>
      <c r="H104" s="5">
        <v>23.92</v>
      </c>
      <c r="I104" s="9">
        <v>0.02</v>
      </c>
      <c r="J104" s="5">
        <v>117.21</v>
      </c>
      <c r="K104" s="5">
        <v>77.709999999999894</v>
      </c>
      <c r="L104" s="5">
        <v>39.5</v>
      </c>
    </row>
  </sheetData>
  <mergeCells count="2">
    <mergeCell ref="A1:L1"/>
    <mergeCell ref="A2:L2"/>
  </mergeCells>
  <conditionalFormatting sqref="J5">
    <cfRule type="colorScale" priority="7">
      <colorScale>
        <cfvo type="min"/>
        <cfvo type="percentile" val="50"/>
        <cfvo type="max"/>
        <color rgb="FFF8696B"/>
        <color rgb="FFFCFCFF"/>
        <color rgb="FF63BE7B"/>
      </colorScale>
    </cfRule>
    <cfRule type="dataBar" priority="9">
      <dataBar>
        <cfvo type="min"/>
        <cfvo type="max"/>
        <color rgb="FF638EC6"/>
      </dataBar>
      <extLst>
        <ext xmlns:x14="http://schemas.microsoft.com/office/spreadsheetml/2009/9/main" uri="{B025F937-C7B1-47D3-B67F-A62EFF666E3E}">
          <x14:id>{37DB9CBA-8378-40DC-8723-8AE3A5626E4B}</x14:id>
        </ext>
      </extLst>
    </cfRule>
    <cfRule type="top10" dxfId="42" priority="10" rank="10"/>
  </conditionalFormatting>
  <conditionalFormatting sqref="J6:J104">
    <cfRule type="colorScale" priority="3">
      <colorScale>
        <cfvo type="min"/>
        <cfvo type="percentile" val="50"/>
        <cfvo type="max"/>
        <color rgb="FFF8696B"/>
        <color rgb="FFFFEB84"/>
        <color rgb="FF63BE7B"/>
      </colorScale>
    </cfRule>
    <cfRule type="top10" dxfId="41" priority="4" rank="10"/>
  </conditionalFormatting>
  <conditionalFormatting sqref="K5:K104">
    <cfRule type="dataBar" priority="5">
      <dataBar>
        <cfvo type="min"/>
        <cfvo type="max"/>
        <color rgb="FFFFB628"/>
      </dataBar>
      <extLst>
        <ext xmlns:x14="http://schemas.microsoft.com/office/spreadsheetml/2009/9/main" uri="{B025F937-C7B1-47D3-B67F-A62EFF666E3E}">
          <x14:id>{49B52B8D-F7AC-4FE8-A758-7A31E6A4BCAD}</x14:id>
        </ext>
      </extLst>
    </cfRule>
  </conditionalFormatting>
  <conditionalFormatting sqref="L5:L104">
    <cfRule type="dataBar" priority="6">
      <dataBar>
        <cfvo type="min"/>
        <cfvo type="max"/>
        <color rgb="FF63C384"/>
      </dataBar>
      <extLst>
        <ext xmlns:x14="http://schemas.microsoft.com/office/spreadsheetml/2009/9/main" uri="{B025F937-C7B1-47D3-B67F-A62EFF666E3E}">
          <x14:id>{4338F48F-19C4-4C60-88F2-3049C253C0C6}</x14:id>
        </ext>
      </extLst>
    </cfRule>
    <cfRule type="cellIs" dxfId="40" priority="11" operator="lessThan">
      <formula>0</formula>
    </cfRule>
    <cfRule type="cellIs" dxfId="39" priority="12" operator="lessThan">
      <formula>0</formula>
    </cfRule>
  </conditionalFormatting>
  <dataValidations count="2">
    <dataValidation type="list" allowBlank="1" showInputMessage="1" showErrorMessage="1" sqref="F5:F104" xr:uid="{09B26DF1-3999-4531-95D2-34B29337E858}">
      <formula1>"Electronics,Accessories,Furniture,"</formula1>
    </dataValidation>
    <dataValidation type="list" allowBlank="1" showInputMessage="1" showErrorMessage="1" sqref="C5:C104" xr:uid="{7E4086E8-C86C-42E8-8925-E1FE13EEA48F}">
      <formula1>"North ,East, South,West"</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7DB9CBA-8378-40DC-8723-8AE3A5626E4B}">
            <x14:dataBar minLength="0" maxLength="100" gradient="0">
              <x14:cfvo type="autoMin"/>
              <x14:cfvo type="autoMax"/>
              <x14:negativeFillColor rgb="FFFF0000"/>
              <x14:axisColor rgb="FF000000"/>
            </x14:dataBar>
          </x14:cfRule>
          <xm:sqref>J5</xm:sqref>
        </x14:conditionalFormatting>
        <x14:conditionalFormatting xmlns:xm="http://schemas.microsoft.com/office/excel/2006/main">
          <x14:cfRule type="dataBar" id="{49B52B8D-F7AC-4FE8-A758-7A31E6A4BCAD}">
            <x14:dataBar minLength="0" maxLength="100" border="1" negativeBarBorderColorSameAsPositive="0">
              <x14:cfvo type="autoMin"/>
              <x14:cfvo type="autoMax"/>
              <x14:borderColor rgb="FFFFB628"/>
              <x14:negativeFillColor rgb="FFFF0000"/>
              <x14:negativeBorderColor rgb="FFFF0000"/>
              <x14:axisColor rgb="FF000000"/>
            </x14:dataBar>
          </x14:cfRule>
          <xm:sqref>K5:K104</xm:sqref>
        </x14:conditionalFormatting>
        <x14:conditionalFormatting xmlns:xm="http://schemas.microsoft.com/office/excel/2006/main">
          <x14:cfRule type="dataBar" id="{4338F48F-19C4-4C60-88F2-3049C253C0C6}">
            <x14:dataBar minLength="0" maxLength="100" border="1" negativeBarBorderColorSameAsPositive="0">
              <x14:cfvo type="autoMin"/>
              <x14:cfvo type="autoMax"/>
              <x14:borderColor rgb="FF63C384"/>
              <x14:negativeFillColor rgb="FFFF0000"/>
              <x14:negativeBorderColor rgb="FFFF0000"/>
              <x14:axisColor rgb="FF000000"/>
            </x14:dataBar>
          </x14:cfRule>
          <xm:sqref>L5:L104</xm:sqref>
        </x14:conditionalFormatting>
        <x14:conditionalFormatting xmlns:xm="http://schemas.microsoft.com/office/excel/2006/main">
          <x14:cfRule type="iconSet" priority="1" id="{EA70C69C-B3BE-4BEA-AAE1-56A6DEFBF344}">
            <x14:iconSet iconSet="3Triangles">
              <x14:cfvo type="percent">
                <xm:f>0</xm:f>
              </x14:cfvo>
              <x14:cfvo type="percent">
                <xm:f>33</xm:f>
              </x14:cfvo>
              <x14:cfvo type="percent">
                <xm:f>67</xm:f>
              </x14:cfvo>
            </x14:iconSet>
          </x14:cfRule>
          <xm:sqref>J5:J104</xm:sqref>
        </x14:conditionalFormatting>
        <x14:conditionalFormatting xmlns:xm="http://schemas.microsoft.com/office/excel/2006/main">
          <x14:cfRule type="iconSet" priority="2" id="{2FE5FDD9-2207-4DD8-BE62-241ADDC108F0}">
            <x14:iconSet iconSet="3Triangles">
              <x14:cfvo type="percent">
                <xm:f>0</xm:f>
              </x14:cfvo>
              <x14:cfvo type="percent">
                <xm:f>33</xm:f>
              </x14:cfvo>
              <x14:cfvo type="percent">
                <xm:f>67</xm:f>
              </x14:cfvo>
            </x14:iconSet>
          </x14:cfRule>
          <xm:sqref>J6:J104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BAD0-F605-4C9E-8E3A-6F88D9F02477}">
  <sheetPr codeName="Sheet2"/>
  <dimension ref="A1:D500"/>
  <sheetViews>
    <sheetView zoomScale="83" zoomScaleNormal="100" workbookViewId="0">
      <selection activeCell="B36" sqref="B36"/>
    </sheetView>
  </sheetViews>
  <sheetFormatPr defaultRowHeight="14.4" x14ac:dyDescent="0.3"/>
  <cols>
    <col min="1" max="3" width="36.109375" customWidth="1"/>
    <col min="4" max="4" width="17.21875" customWidth="1"/>
  </cols>
  <sheetData>
    <row r="1" spans="1:4" ht="37.200000000000003" customHeight="1" x14ac:dyDescent="0.3">
      <c r="A1" s="41" t="s">
        <v>139</v>
      </c>
      <c r="B1" s="41"/>
      <c r="C1" s="41"/>
      <c r="D1" s="41"/>
    </row>
    <row r="2" spans="1:4" ht="19.2" customHeight="1" thickBot="1" x14ac:dyDescent="0.35">
      <c r="A2" s="1"/>
      <c r="B2" s="1"/>
      <c r="C2" s="1"/>
      <c r="D2" s="1"/>
    </row>
    <row r="3" spans="1:4" ht="19.2" customHeight="1" thickBot="1" x14ac:dyDescent="0.35">
      <c r="A3" s="16" t="s">
        <v>140</v>
      </c>
      <c r="B3" s="17" t="s">
        <v>141</v>
      </c>
      <c r="C3" s="17" t="s">
        <v>142</v>
      </c>
      <c r="D3" s="18" t="s">
        <v>143</v>
      </c>
    </row>
    <row r="4" spans="1:4" ht="19.2" customHeight="1" thickBot="1" x14ac:dyDescent="0.35">
      <c r="A4" s="29" t="s">
        <v>144</v>
      </c>
      <c r="B4" s="14">
        <f>SUM(Table4[Sales])</f>
        <v>158716.61999999997</v>
      </c>
      <c r="C4" s="13" t="s">
        <v>145</v>
      </c>
      <c r="D4" s="19" t="s">
        <v>146</v>
      </c>
    </row>
    <row r="5" spans="1:4" ht="19.2" customHeight="1" thickBot="1" x14ac:dyDescent="0.35">
      <c r="A5" s="29" t="s">
        <v>147</v>
      </c>
      <c r="B5" s="13">
        <f>AVERAGE(Table4[Sales])</f>
        <v>1587.1661999999997</v>
      </c>
      <c r="C5" s="13" t="s">
        <v>148</v>
      </c>
      <c r="D5" s="19" t="s">
        <v>149</v>
      </c>
    </row>
    <row r="6" spans="1:4" ht="19.2" customHeight="1" thickBot="1" x14ac:dyDescent="0.35">
      <c r="A6" s="29" t="s">
        <v>150</v>
      </c>
      <c r="B6" s="13">
        <f>MAX(Table4[Profit])</f>
        <v>3127.89</v>
      </c>
      <c r="C6" s="13" t="s">
        <v>151</v>
      </c>
      <c r="D6" s="19" t="s">
        <v>152</v>
      </c>
    </row>
    <row r="7" spans="1:4" ht="19.2" customHeight="1" thickBot="1" x14ac:dyDescent="0.35">
      <c r="A7" s="29" t="s">
        <v>153</v>
      </c>
      <c r="B7" s="13">
        <f>MIN(Table4[Profit])</f>
        <v>-0.92</v>
      </c>
      <c r="C7" s="13" t="s">
        <v>154</v>
      </c>
      <c r="D7" s="19" t="s">
        <v>155</v>
      </c>
    </row>
    <row r="8" spans="1:4" ht="19.2" customHeight="1" thickBot="1" x14ac:dyDescent="0.35">
      <c r="A8" s="29" t="s">
        <v>156</v>
      </c>
      <c r="B8" s="13">
        <f>COUNT(Table4[Quantity])</f>
        <v>100</v>
      </c>
      <c r="C8" s="13" t="s">
        <v>157</v>
      </c>
      <c r="D8" s="19" t="s">
        <v>158</v>
      </c>
    </row>
    <row r="9" spans="1:4" ht="19.2" customHeight="1" thickBot="1" x14ac:dyDescent="0.35">
      <c r="A9" s="29" t="s">
        <v>159</v>
      </c>
      <c r="B9" s="13">
        <f>COUNTA(Table4[Order ID])</f>
        <v>100</v>
      </c>
      <c r="C9" s="13" t="s">
        <v>160</v>
      </c>
      <c r="D9" s="19" t="s">
        <v>161</v>
      </c>
    </row>
    <row r="10" spans="1:4" ht="19.2" customHeight="1" thickBot="1" x14ac:dyDescent="0.35">
      <c r="A10" s="29" t="s">
        <v>162</v>
      </c>
      <c r="B10" s="13">
        <f>COUNTIF(Table4[Region],"North")</f>
        <v>20</v>
      </c>
      <c r="C10" s="13" t="s">
        <v>163</v>
      </c>
      <c r="D10" s="19" t="s">
        <v>164</v>
      </c>
    </row>
    <row r="11" spans="1:4" ht="19.2" customHeight="1" thickBot="1" x14ac:dyDescent="0.35">
      <c r="A11" s="29" t="s">
        <v>165</v>
      </c>
      <c r="B11" s="13">
        <f>COUNTIFS(Table4[Region],"North",Table4[Category],"Electronics")</f>
        <v>6</v>
      </c>
      <c r="C11" s="13" t="s">
        <v>166</v>
      </c>
      <c r="D11" s="19" t="s">
        <v>167</v>
      </c>
    </row>
    <row r="12" spans="1:4" ht="19.2" customHeight="1" thickBot="1" x14ac:dyDescent="0.35">
      <c r="A12" s="29" t="s">
        <v>168</v>
      </c>
      <c r="B12" s="13">
        <f>SUMIF(Table4[Region],"North",Table4[Sales])</f>
        <v>35888.770000000004</v>
      </c>
      <c r="C12" s="13" t="s">
        <v>169</v>
      </c>
      <c r="D12" s="19" t="s">
        <v>164</v>
      </c>
    </row>
    <row r="13" spans="1:4" ht="19.2" customHeight="1" thickBot="1" x14ac:dyDescent="0.35">
      <c r="A13" s="29" t="s">
        <v>170</v>
      </c>
      <c r="B13" s="13">
        <f>SUMIFS(Table4[Sales],Table4[Region],"North",Table4[Category],"Electronics")</f>
        <v>18740.580000000002</v>
      </c>
      <c r="C13" s="13" t="s">
        <v>171</v>
      </c>
      <c r="D13" s="19" t="s">
        <v>167</v>
      </c>
    </row>
    <row r="14" spans="1:4" ht="19.2" customHeight="1" thickBot="1" x14ac:dyDescent="0.35">
      <c r="A14" s="29" t="s">
        <v>172</v>
      </c>
      <c r="B14" s="13">
        <f>AVERAGEIF(Table4[Region],"North",Table4[Sales])</f>
        <v>1794.4385000000002</v>
      </c>
      <c r="C14" s="13" t="s">
        <v>173</v>
      </c>
      <c r="D14" s="19" t="s">
        <v>164</v>
      </c>
    </row>
    <row r="15" spans="1:4" ht="19.2" customHeight="1" thickBot="1" x14ac:dyDescent="0.35">
      <c r="A15" s="29" t="s">
        <v>174</v>
      </c>
      <c r="B15" s="13">
        <f>AVERAGEIFS(Table4[Sales],Table4[Region],"North",Table4[Category],"Electronics")</f>
        <v>3123.4300000000003</v>
      </c>
      <c r="C15" s="13" t="s">
        <v>175</v>
      </c>
      <c r="D15" s="19" t="s">
        <v>167</v>
      </c>
    </row>
    <row r="16" spans="1:4" ht="19.2" customHeight="1" thickBot="1" x14ac:dyDescent="0.35">
      <c r="A16" s="29" t="s">
        <v>176</v>
      </c>
      <c r="B16" s="13" t="str">
        <f>IF('SALES DATA '!L5&gt;0,"Profit","loss")</f>
        <v>Profit</v>
      </c>
      <c r="C16" s="13" t="s">
        <v>177</v>
      </c>
      <c r="D16" s="19" t="s">
        <v>178</v>
      </c>
    </row>
    <row r="17" spans="1:4" ht="19.2" customHeight="1" thickBot="1" x14ac:dyDescent="0.35">
      <c r="A17" s="29" t="s">
        <v>179</v>
      </c>
      <c r="B17" s="13" t="str" cm="1">
        <f t="array" ref="B17">_xlfn.IFS('SALES DATA '!L5&gt;1000,"High",'SALES DATA '!L5&gt;500,"Medium",TRUE,"Low")</f>
        <v>Low</v>
      </c>
      <c r="C17" s="13" t="s">
        <v>180</v>
      </c>
      <c r="D17" s="19" t="s">
        <v>181</v>
      </c>
    </row>
    <row r="18" spans="1:4" ht="19.2" customHeight="1" thickBot="1" x14ac:dyDescent="0.35">
      <c r="A18" s="29" t="s">
        <v>182</v>
      </c>
      <c r="B18" s="13">
        <f>IFERROR('SALES DATA '!J5/'SALES DATA '!K5,0)</f>
        <v>1.3254317182613427</v>
      </c>
      <c r="C18" s="13" t="s">
        <v>183</v>
      </c>
      <c r="D18" s="19" t="s">
        <v>184</v>
      </c>
    </row>
    <row r="19" spans="1:4" ht="19.2" customHeight="1" thickBot="1" x14ac:dyDescent="0.35">
      <c r="A19" s="29" t="s">
        <v>185</v>
      </c>
      <c r="B19" s="13" t="b">
        <f>AND('SALES DATA '!C5="East",'SALES DATA '!F5="Electronics")</f>
        <v>1</v>
      </c>
      <c r="C19" s="13" t="s">
        <v>186</v>
      </c>
      <c r="D19" s="19" t="s">
        <v>187</v>
      </c>
    </row>
    <row r="20" spans="1:4" ht="19.2" customHeight="1" thickBot="1" x14ac:dyDescent="0.35">
      <c r="A20" s="29" t="s">
        <v>188</v>
      </c>
      <c r="B20" s="13" t="b">
        <f>OR('SALES DATA '!C5="North",'SALES DATA '!F5="Electronics")</f>
        <v>1</v>
      </c>
      <c r="C20" s="13" t="s">
        <v>189</v>
      </c>
      <c r="D20" s="19" t="s">
        <v>190</v>
      </c>
    </row>
    <row r="21" spans="1:4" ht="19.2" customHeight="1" thickBot="1" x14ac:dyDescent="0.35">
      <c r="A21" s="29" t="s">
        <v>191</v>
      </c>
      <c r="B21" s="13" t="b">
        <f>NOT('SALES DATA '!C5="north")</f>
        <v>1</v>
      </c>
      <c r="C21" s="13" t="s">
        <v>192</v>
      </c>
      <c r="D21" s="19" t="s">
        <v>193</v>
      </c>
    </row>
    <row r="22" spans="1:4" ht="19.2" customHeight="1" thickBot="1" x14ac:dyDescent="0.35">
      <c r="A22" s="29" t="s">
        <v>194</v>
      </c>
      <c r="B22" s="14">
        <f>ROUND(B18,2)</f>
        <v>1.33</v>
      </c>
      <c r="C22" s="13" t="s">
        <v>195</v>
      </c>
      <c r="D22" s="19" t="s">
        <v>196</v>
      </c>
    </row>
    <row r="23" spans="1:4" ht="19.2" customHeight="1" thickBot="1" x14ac:dyDescent="0.35">
      <c r="A23" s="29" t="s">
        <v>197</v>
      </c>
      <c r="B23" s="15">
        <f ca="1">TODAY()</f>
        <v>46257</v>
      </c>
      <c r="C23" s="13" t="s">
        <v>198</v>
      </c>
      <c r="D23" s="19" t="s">
        <v>199</v>
      </c>
    </row>
    <row r="24" spans="1:4" ht="19.2" customHeight="1" thickBot="1" x14ac:dyDescent="0.35">
      <c r="A24" s="29" t="s">
        <v>200</v>
      </c>
      <c r="B24" s="13">
        <f ca="1">YEAR(B23)</f>
        <v>2026</v>
      </c>
      <c r="C24" s="13" t="s">
        <v>201</v>
      </c>
      <c r="D24" s="19" t="s">
        <v>202</v>
      </c>
    </row>
    <row r="25" spans="1:4" ht="19.2" customHeight="1" thickBot="1" x14ac:dyDescent="0.35">
      <c r="A25" s="29" t="s">
        <v>203</v>
      </c>
      <c r="B25" s="13">
        <f ca="1">MONTH(B23)</f>
        <v>8</v>
      </c>
      <c r="C25" s="13" t="s">
        <v>204</v>
      </c>
      <c r="D25" s="19" t="s">
        <v>205</v>
      </c>
    </row>
    <row r="26" spans="1:4" ht="19.2" customHeight="1" thickBot="1" x14ac:dyDescent="0.35">
      <c r="A26" s="29" t="s">
        <v>206</v>
      </c>
      <c r="B26" s="13" t="str">
        <f ca="1">TEXT(B23,"mmm-yyyy")</f>
        <v>Aug-2026</v>
      </c>
      <c r="C26" s="13" t="s">
        <v>207</v>
      </c>
      <c r="D26" s="19" t="s">
        <v>208</v>
      </c>
    </row>
    <row r="27" spans="1:4" ht="19.2" customHeight="1" thickBot="1" x14ac:dyDescent="0.35">
      <c r="A27" s="29" t="s">
        <v>209</v>
      </c>
      <c r="B27" s="13" t="str">
        <f>LEFT(C27,3)</f>
        <v>Lef</v>
      </c>
      <c r="C27" s="13" t="s">
        <v>210</v>
      </c>
      <c r="D27" s="19" t="s">
        <v>211</v>
      </c>
    </row>
    <row r="28" spans="1:4" ht="19.2" customHeight="1" thickBot="1" x14ac:dyDescent="0.35">
      <c r="A28" s="29" t="s">
        <v>212</v>
      </c>
      <c r="B28" s="13" t="str">
        <f>RIGHT(C28,3)</f>
        <v>ers</v>
      </c>
      <c r="C28" s="13" t="s">
        <v>213</v>
      </c>
      <c r="D28" s="19" t="s">
        <v>214</v>
      </c>
    </row>
    <row r="29" spans="1:4" ht="19.2" customHeight="1" thickBot="1" x14ac:dyDescent="0.35">
      <c r="A29" s="29" t="s">
        <v>215</v>
      </c>
      <c r="B29" s="13" t="str">
        <f>MID(C29,3,4)</f>
        <v>ddle</v>
      </c>
      <c r="C29" s="13" t="s">
        <v>216</v>
      </c>
      <c r="D29" s="19" t="s">
        <v>217</v>
      </c>
    </row>
    <row r="30" spans="1:4" ht="19.2" customHeight="1" thickBot="1" x14ac:dyDescent="0.35">
      <c r="A30" s="29" t="s">
        <v>218</v>
      </c>
      <c r="B30" s="13">
        <f>LEN(C30)</f>
        <v>11</v>
      </c>
      <c r="C30" s="13" t="s">
        <v>219</v>
      </c>
      <c r="D30" s="19" t="s">
        <v>220</v>
      </c>
    </row>
    <row r="31" spans="1:4" ht="19.2" customHeight="1" thickBot="1" x14ac:dyDescent="0.35">
      <c r="A31" s="29" t="s">
        <v>221</v>
      </c>
      <c r="B31" s="13" t="str">
        <f>TRIM(C31)</f>
        <v>Clean Spaces</v>
      </c>
      <c r="C31" s="13" t="s">
        <v>222</v>
      </c>
      <c r="D31" s="19" t="s">
        <v>223</v>
      </c>
    </row>
    <row r="32" spans="1:4" ht="19.2" customHeight="1" thickBot="1" x14ac:dyDescent="0.35">
      <c r="A32" s="29" t="s">
        <v>224</v>
      </c>
      <c r="B32" s="13" t="str">
        <f>UPPER(C32)</f>
        <v>UPPERCASE</v>
      </c>
      <c r="C32" s="13" t="s">
        <v>225</v>
      </c>
      <c r="D32" s="19" t="s">
        <v>226</v>
      </c>
    </row>
    <row r="33" spans="1:4" ht="19.2" customHeight="1" thickBot="1" x14ac:dyDescent="0.35">
      <c r="A33" s="29" t="s">
        <v>227</v>
      </c>
      <c r="B33" s="13" t="str">
        <f>LOWER(C33)</f>
        <v>lowercase</v>
      </c>
      <c r="C33" s="13" t="s">
        <v>228</v>
      </c>
      <c r="D33" s="19" t="s">
        <v>226</v>
      </c>
    </row>
    <row r="34" spans="1:4" ht="19.2" customHeight="1" thickBot="1" x14ac:dyDescent="0.35">
      <c r="A34" s="29" t="s">
        <v>229</v>
      </c>
      <c r="B34" s="13" t="str">
        <f>PROPER(C34)</f>
        <v>Proper Case</v>
      </c>
      <c r="C34" s="13" t="s">
        <v>230</v>
      </c>
      <c r="D34" s="19" t="s">
        <v>231</v>
      </c>
    </row>
    <row r="35" spans="1:4" ht="19.2" customHeight="1" thickBot="1" x14ac:dyDescent="0.35">
      <c r="A35" s="29" t="s">
        <v>232</v>
      </c>
      <c r="B35" s="13" t="str">
        <f>_xlfn.CONCAT(C35,D35)</f>
        <v>Join TextCombines text</v>
      </c>
      <c r="C35" s="13" t="s">
        <v>233</v>
      </c>
      <c r="D35" s="19" t="s">
        <v>234</v>
      </c>
    </row>
    <row r="36" spans="1:4" ht="19.2" customHeight="1" thickBot="1" x14ac:dyDescent="0.35">
      <c r="A36" s="29" t="s">
        <v>235</v>
      </c>
      <c r="B36" s="13" t="str">
        <f>_xlfn.TEXTJOIN("/",TRUE,C36,D36)</f>
        <v>Join Multiple Text/Uses separator</v>
      </c>
      <c r="C36" s="13" t="s">
        <v>236</v>
      </c>
      <c r="D36" s="19" t="s">
        <v>237</v>
      </c>
    </row>
    <row r="37" spans="1:4" ht="19.2" customHeight="1" thickBot="1" x14ac:dyDescent="0.35">
      <c r="A37" s="29" t="s">
        <v>238</v>
      </c>
      <c r="B37" s="13">
        <f>VLOOKUP('SALES DATA '!A5,Table4[],12, FALSE)</f>
        <v>287.2</v>
      </c>
      <c r="C37" s="13" t="s">
        <v>239</v>
      </c>
      <c r="D37" s="19" t="s">
        <v>240</v>
      </c>
    </row>
    <row r="38" spans="1:4" ht="19.2" customHeight="1" thickBot="1" x14ac:dyDescent="0.35">
      <c r="A38" s="29" t="s">
        <v>241</v>
      </c>
      <c r="B38" s="13" t="str">
        <f>_xlfn.XLOOKUP('SALES DATA '!A5,A5:A104,L5:L104,"Not Found")</f>
        <v>Not Found</v>
      </c>
      <c r="C38" s="13" t="s">
        <v>242</v>
      </c>
      <c r="D38" s="19" t="s">
        <v>243</v>
      </c>
    </row>
    <row r="39" spans="1:4" ht="19.2" customHeight="1" thickBot="1" x14ac:dyDescent="0.35">
      <c r="A39" s="29" t="s">
        <v>244</v>
      </c>
      <c r="B39" s="13" t="e">
        <f>INDEX(Table4[Profit],MATCH(A5,Table4[Order ID],0))</f>
        <v>#N/A</v>
      </c>
      <c r="C39" s="13" t="s">
        <v>242</v>
      </c>
      <c r="D39" s="19" t="s">
        <v>245</v>
      </c>
    </row>
    <row r="40" spans="1:4" ht="15" thickBot="1" x14ac:dyDescent="0.35">
      <c r="A40" s="20"/>
      <c r="B40" s="21" t="s">
        <v>247</v>
      </c>
      <c r="C40" s="21"/>
      <c r="D40" s="22"/>
    </row>
    <row r="41" spans="1:4" x14ac:dyDescent="0.3">
      <c r="D41" s="1"/>
    </row>
    <row r="42" spans="1:4" x14ac:dyDescent="0.3">
      <c r="D42" s="1"/>
    </row>
    <row r="43" spans="1:4" x14ac:dyDescent="0.3">
      <c r="D43" s="1"/>
    </row>
    <row r="44" spans="1:4" x14ac:dyDescent="0.3">
      <c r="D44" s="1"/>
    </row>
    <row r="45" spans="1:4" x14ac:dyDescent="0.3">
      <c r="D45" s="1"/>
    </row>
    <row r="46" spans="1:4" x14ac:dyDescent="0.3">
      <c r="D46" s="1"/>
    </row>
    <row r="47" spans="1:4" x14ac:dyDescent="0.3">
      <c r="D47" s="1"/>
    </row>
    <row r="48" spans="1:4" x14ac:dyDescent="0.3">
      <c r="D48" s="1"/>
    </row>
    <row r="49" spans="4:4" x14ac:dyDescent="0.3">
      <c r="D49" s="1"/>
    </row>
    <row r="50" spans="4:4" x14ac:dyDescent="0.3">
      <c r="D50" s="1"/>
    </row>
    <row r="51" spans="4:4" x14ac:dyDescent="0.3">
      <c r="D51" s="1"/>
    </row>
    <row r="52" spans="4:4" x14ac:dyDescent="0.3">
      <c r="D52" s="1"/>
    </row>
    <row r="53" spans="4:4" x14ac:dyDescent="0.3">
      <c r="D53" s="1"/>
    </row>
    <row r="54" spans="4:4" x14ac:dyDescent="0.3">
      <c r="D54" s="1"/>
    </row>
    <row r="55" spans="4:4" x14ac:dyDescent="0.3">
      <c r="D55" s="1"/>
    </row>
    <row r="56" spans="4:4" x14ac:dyDescent="0.3">
      <c r="D56" s="1"/>
    </row>
    <row r="57" spans="4:4" x14ac:dyDescent="0.3">
      <c r="D57" s="1"/>
    </row>
    <row r="58" spans="4:4" x14ac:dyDescent="0.3">
      <c r="D58" s="1"/>
    </row>
    <row r="59" spans="4:4" x14ac:dyDescent="0.3">
      <c r="D59" s="1"/>
    </row>
    <row r="60" spans="4:4" x14ac:dyDescent="0.3">
      <c r="D60" s="1"/>
    </row>
    <row r="61" spans="4:4" x14ac:dyDescent="0.3">
      <c r="D61" s="1"/>
    </row>
    <row r="62" spans="4:4" x14ac:dyDescent="0.3">
      <c r="D62" s="1"/>
    </row>
    <row r="63" spans="4:4" x14ac:dyDescent="0.3">
      <c r="D63" s="1"/>
    </row>
    <row r="64" spans="4:4" x14ac:dyDescent="0.3">
      <c r="D64" s="1"/>
    </row>
    <row r="65" spans="4:4" x14ac:dyDescent="0.3">
      <c r="D65" s="1"/>
    </row>
    <row r="66" spans="4:4" x14ac:dyDescent="0.3">
      <c r="D66" s="1"/>
    </row>
    <row r="67" spans="4:4" x14ac:dyDescent="0.3">
      <c r="D67" s="1"/>
    </row>
    <row r="68" spans="4:4" x14ac:dyDescent="0.3">
      <c r="D68" s="1"/>
    </row>
    <row r="69" spans="4:4" x14ac:dyDescent="0.3">
      <c r="D69" s="1"/>
    </row>
    <row r="70" spans="4:4" x14ac:dyDescent="0.3">
      <c r="D70" s="1"/>
    </row>
    <row r="71" spans="4:4" x14ac:dyDescent="0.3">
      <c r="D71" s="1"/>
    </row>
    <row r="72" spans="4:4" x14ac:dyDescent="0.3">
      <c r="D72" s="1"/>
    </row>
    <row r="73" spans="4:4" x14ac:dyDescent="0.3">
      <c r="D73" s="1"/>
    </row>
    <row r="74" spans="4:4" x14ac:dyDescent="0.3">
      <c r="D74" s="1"/>
    </row>
    <row r="75" spans="4:4" x14ac:dyDescent="0.3">
      <c r="D75" s="1"/>
    </row>
    <row r="76" spans="4:4" x14ac:dyDescent="0.3">
      <c r="D76" s="1"/>
    </row>
    <row r="77" spans="4:4" x14ac:dyDescent="0.3">
      <c r="D77" s="1"/>
    </row>
    <row r="78" spans="4:4" x14ac:dyDescent="0.3">
      <c r="D78" s="1"/>
    </row>
    <row r="79" spans="4:4" x14ac:dyDescent="0.3">
      <c r="D79" s="1"/>
    </row>
    <row r="80" spans="4:4" x14ac:dyDescent="0.3">
      <c r="D80" s="1"/>
    </row>
    <row r="81" spans="4:4" x14ac:dyDescent="0.3">
      <c r="D81" s="1"/>
    </row>
    <row r="82" spans="4:4" x14ac:dyDescent="0.3">
      <c r="D82" s="1"/>
    </row>
    <row r="83" spans="4:4" x14ac:dyDescent="0.3">
      <c r="D83" s="1"/>
    </row>
    <row r="84" spans="4:4" x14ac:dyDescent="0.3">
      <c r="D84" s="1"/>
    </row>
    <row r="85" spans="4:4" x14ac:dyDescent="0.3">
      <c r="D85" s="1"/>
    </row>
    <row r="86" spans="4:4" x14ac:dyDescent="0.3">
      <c r="D86" s="1"/>
    </row>
    <row r="87" spans="4:4" x14ac:dyDescent="0.3">
      <c r="D87" s="1"/>
    </row>
    <row r="88" spans="4:4" x14ac:dyDescent="0.3">
      <c r="D88" s="1"/>
    </row>
    <row r="89" spans="4:4" x14ac:dyDescent="0.3">
      <c r="D89" s="1"/>
    </row>
    <row r="90" spans="4:4" x14ac:dyDescent="0.3">
      <c r="D90" s="1"/>
    </row>
    <row r="91" spans="4:4" x14ac:dyDescent="0.3">
      <c r="D91" s="1"/>
    </row>
    <row r="92" spans="4:4" x14ac:dyDescent="0.3">
      <c r="D92" s="1"/>
    </row>
    <row r="93" spans="4:4" x14ac:dyDescent="0.3">
      <c r="D93" s="1"/>
    </row>
    <row r="94" spans="4:4" x14ac:dyDescent="0.3">
      <c r="D94" s="1"/>
    </row>
    <row r="95" spans="4:4" x14ac:dyDescent="0.3">
      <c r="D95" s="1"/>
    </row>
    <row r="96" spans="4:4" x14ac:dyDescent="0.3">
      <c r="D96" s="1"/>
    </row>
    <row r="97" spans="4:4" x14ac:dyDescent="0.3">
      <c r="D97" s="1"/>
    </row>
    <row r="98" spans="4:4" x14ac:dyDescent="0.3">
      <c r="D98" s="1"/>
    </row>
    <row r="99" spans="4:4" x14ac:dyDescent="0.3">
      <c r="D99" s="1"/>
    </row>
    <row r="100" spans="4:4" x14ac:dyDescent="0.3">
      <c r="D100" s="1"/>
    </row>
    <row r="101" spans="4:4" x14ac:dyDescent="0.3">
      <c r="D101" s="1"/>
    </row>
    <row r="102" spans="4:4" x14ac:dyDescent="0.3">
      <c r="D102" s="1"/>
    </row>
    <row r="103" spans="4:4" x14ac:dyDescent="0.3">
      <c r="D103" s="1"/>
    </row>
    <row r="104" spans="4:4" x14ac:dyDescent="0.3">
      <c r="D104" s="1"/>
    </row>
    <row r="105" spans="4:4" x14ac:dyDescent="0.3">
      <c r="D105" s="1"/>
    </row>
    <row r="106" spans="4:4" x14ac:dyDescent="0.3">
      <c r="D106" s="1"/>
    </row>
    <row r="107" spans="4:4" x14ac:dyDescent="0.3">
      <c r="D107" s="1"/>
    </row>
    <row r="108" spans="4:4" x14ac:dyDescent="0.3">
      <c r="D108" s="1"/>
    </row>
    <row r="109" spans="4:4" x14ac:dyDescent="0.3">
      <c r="D109" s="1"/>
    </row>
    <row r="110" spans="4:4" x14ac:dyDescent="0.3">
      <c r="D110" s="1"/>
    </row>
    <row r="111" spans="4:4" x14ac:dyDescent="0.3">
      <c r="D111" s="1"/>
    </row>
    <row r="112" spans="4:4" x14ac:dyDescent="0.3">
      <c r="D112" s="1"/>
    </row>
    <row r="113" spans="4:4" x14ac:dyDescent="0.3">
      <c r="D113" s="1"/>
    </row>
    <row r="114" spans="4:4" x14ac:dyDescent="0.3">
      <c r="D114" s="1"/>
    </row>
    <row r="115" spans="4:4" x14ac:dyDescent="0.3">
      <c r="D115" s="1"/>
    </row>
    <row r="116" spans="4:4" x14ac:dyDescent="0.3">
      <c r="D116" s="1"/>
    </row>
    <row r="117" spans="4:4" x14ac:dyDescent="0.3">
      <c r="D117" s="1"/>
    </row>
    <row r="118" spans="4:4" x14ac:dyDescent="0.3">
      <c r="D118" s="1"/>
    </row>
    <row r="119" spans="4:4" x14ac:dyDescent="0.3">
      <c r="D119" s="1"/>
    </row>
    <row r="120" spans="4:4" x14ac:dyDescent="0.3">
      <c r="D120" s="1"/>
    </row>
    <row r="121" spans="4:4" x14ac:dyDescent="0.3">
      <c r="D121" s="1"/>
    </row>
    <row r="122" spans="4:4" x14ac:dyDescent="0.3">
      <c r="D122" s="1"/>
    </row>
    <row r="123" spans="4:4" x14ac:dyDescent="0.3">
      <c r="D123" s="1"/>
    </row>
    <row r="124" spans="4:4" x14ac:dyDescent="0.3">
      <c r="D124" s="1"/>
    </row>
    <row r="125" spans="4:4" x14ac:dyDescent="0.3">
      <c r="D125" s="1"/>
    </row>
    <row r="126" spans="4:4" x14ac:dyDescent="0.3">
      <c r="D126" s="1"/>
    </row>
    <row r="127" spans="4:4" x14ac:dyDescent="0.3">
      <c r="D127" s="1"/>
    </row>
    <row r="128" spans="4:4" x14ac:dyDescent="0.3">
      <c r="D128" s="1"/>
    </row>
    <row r="129" spans="4:4" x14ac:dyDescent="0.3">
      <c r="D129" s="1"/>
    </row>
    <row r="130" spans="4:4" x14ac:dyDescent="0.3">
      <c r="D130" s="1"/>
    </row>
    <row r="131" spans="4:4" x14ac:dyDescent="0.3">
      <c r="D131" s="1"/>
    </row>
    <row r="132" spans="4:4" x14ac:dyDescent="0.3">
      <c r="D132" s="1"/>
    </row>
    <row r="133" spans="4:4" x14ac:dyDescent="0.3">
      <c r="D133" s="1"/>
    </row>
    <row r="134" spans="4:4" x14ac:dyDescent="0.3">
      <c r="D134" s="1"/>
    </row>
    <row r="135" spans="4:4" x14ac:dyDescent="0.3">
      <c r="D135" s="1"/>
    </row>
    <row r="136" spans="4:4" x14ac:dyDescent="0.3">
      <c r="D136" s="1"/>
    </row>
    <row r="137" spans="4:4" x14ac:dyDescent="0.3">
      <c r="D137" s="1"/>
    </row>
    <row r="138" spans="4:4" x14ac:dyDescent="0.3">
      <c r="D138" s="1"/>
    </row>
    <row r="139" spans="4:4" x14ac:dyDescent="0.3">
      <c r="D139" s="1"/>
    </row>
    <row r="140" spans="4:4" x14ac:dyDescent="0.3">
      <c r="D140" s="1"/>
    </row>
    <row r="141" spans="4:4" x14ac:dyDescent="0.3">
      <c r="D141" s="1"/>
    </row>
    <row r="142" spans="4:4" x14ac:dyDescent="0.3">
      <c r="D142" s="1"/>
    </row>
    <row r="143" spans="4:4" x14ac:dyDescent="0.3">
      <c r="D143" s="1"/>
    </row>
    <row r="144" spans="4:4" x14ac:dyDescent="0.3">
      <c r="D144" s="1"/>
    </row>
    <row r="145" spans="4:4" x14ac:dyDescent="0.3">
      <c r="D145" s="1"/>
    </row>
    <row r="146" spans="4:4" x14ac:dyDescent="0.3">
      <c r="D146" s="1"/>
    </row>
    <row r="147" spans="4:4" x14ac:dyDescent="0.3">
      <c r="D147" s="1"/>
    </row>
    <row r="148" spans="4:4" x14ac:dyDescent="0.3">
      <c r="D148" s="1"/>
    </row>
    <row r="149" spans="4:4" x14ac:dyDescent="0.3">
      <c r="D149" s="1"/>
    </row>
    <row r="150" spans="4:4" x14ac:dyDescent="0.3">
      <c r="D150" s="1"/>
    </row>
    <row r="151" spans="4:4" x14ac:dyDescent="0.3">
      <c r="D151" s="1"/>
    </row>
    <row r="152" spans="4:4" x14ac:dyDescent="0.3">
      <c r="D152" s="1"/>
    </row>
    <row r="153" spans="4:4" x14ac:dyDescent="0.3">
      <c r="D153" s="1"/>
    </row>
    <row r="154" spans="4:4" x14ac:dyDescent="0.3">
      <c r="D154" s="1"/>
    </row>
    <row r="155" spans="4:4" x14ac:dyDescent="0.3">
      <c r="D155" s="1"/>
    </row>
    <row r="156" spans="4:4" x14ac:dyDescent="0.3">
      <c r="D156" s="1"/>
    </row>
    <row r="157" spans="4:4" x14ac:dyDescent="0.3">
      <c r="D157" s="1"/>
    </row>
    <row r="158" spans="4:4" x14ac:dyDescent="0.3">
      <c r="D158" s="1"/>
    </row>
    <row r="159" spans="4:4" x14ac:dyDescent="0.3">
      <c r="D159" s="1"/>
    </row>
    <row r="160" spans="4:4" x14ac:dyDescent="0.3">
      <c r="D160" s="1"/>
    </row>
    <row r="161" spans="4:4" x14ac:dyDescent="0.3">
      <c r="D161" s="1"/>
    </row>
    <row r="162" spans="4:4" x14ac:dyDescent="0.3">
      <c r="D162" s="1"/>
    </row>
    <row r="163" spans="4:4" x14ac:dyDescent="0.3">
      <c r="D163" s="1"/>
    </row>
    <row r="164" spans="4:4" x14ac:dyDescent="0.3">
      <c r="D164" s="1"/>
    </row>
    <row r="165" spans="4:4" x14ac:dyDescent="0.3">
      <c r="D165" s="1"/>
    </row>
    <row r="166" spans="4:4" x14ac:dyDescent="0.3">
      <c r="D166" s="1"/>
    </row>
    <row r="167" spans="4:4" x14ac:dyDescent="0.3">
      <c r="D167" s="1"/>
    </row>
    <row r="168" spans="4:4" x14ac:dyDescent="0.3">
      <c r="D168" s="1"/>
    </row>
    <row r="169" spans="4:4" x14ac:dyDescent="0.3">
      <c r="D169" s="1"/>
    </row>
    <row r="170" spans="4:4" x14ac:dyDescent="0.3">
      <c r="D170" s="1"/>
    </row>
    <row r="171" spans="4:4" x14ac:dyDescent="0.3">
      <c r="D171" s="1"/>
    </row>
    <row r="172" spans="4:4" x14ac:dyDescent="0.3">
      <c r="D172" s="1"/>
    </row>
    <row r="173" spans="4:4" x14ac:dyDescent="0.3">
      <c r="D173" s="1"/>
    </row>
    <row r="174" spans="4:4" x14ac:dyDescent="0.3">
      <c r="D174" s="1"/>
    </row>
    <row r="175" spans="4:4" x14ac:dyDescent="0.3">
      <c r="D175" s="1"/>
    </row>
    <row r="176" spans="4:4" x14ac:dyDescent="0.3">
      <c r="D176" s="1"/>
    </row>
    <row r="177" spans="4:4" x14ac:dyDescent="0.3">
      <c r="D177" s="1"/>
    </row>
    <row r="178" spans="4:4" x14ac:dyDescent="0.3">
      <c r="D178" s="1"/>
    </row>
    <row r="179" spans="4:4" x14ac:dyDescent="0.3">
      <c r="D179" s="1"/>
    </row>
    <row r="180" spans="4:4" x14ac:dyDescent="0.3">
      <c r="D180" s="1"/>
    </row>
    <row r="181" spans="4:4" x14ac:dyDescent="0.3">
      <c r="D181" s="1"/>
    </row>
    <row r="182" spans="4:4" x14ac:dyDescent="0.3">
      <c r="D182" s="1"/>
    </row>
    <row r="183" spans="4:4" x14ac:dyDescent="0.3">
      <c r="D183" s="1"/>
    </row>
    <row r="184" spans="4:4" x14ac:dyDescent="0.3">
      <c r="D184" s="1"/>
    </row>
    <row r="185" spans="4:4" x14ac:dyDescent="0.3">
      <c r="D185" s="1"/>
    </row>
    <row r="186" spans="4:4" x14ac:dyDescent="0.3">
      <c r="D186" s="1"/>
    </row>
    <row r="187" spans="4:4" x14ac:dyDescent="0.3">
      <c r="D187" s="1"/>
    </row>
    <row r="188" spans="4:4" x14ac:dyDescent="0.3">
      <c r="D188" s="1"/>
    </row>
    <row r="189" spans="4:4" x14ac:dyDescent="0.3">
      <c r="D189" s="1"/>
    </row>
    <row r="190" spans="4:4" x14ac:dyDescent="0.3">
      <c r="D190" s="1"/>
    </row>
    <row r="191" spans="4:4" x14ac:dyDescent="0.3">
      <c r="D191" s="1"/>
    </row>
    <row r="192" spans="4:4" x14ac:dyDescent="0.3">
      <c r="D192" s="1"/>
    </row>
    <row r="193" spans="4:4" x14ac:dyDescent="0.3">
      <c r="D193" s="1"/>
    </row>
    <row r="194" spans="4:4" x14ac:dyDescent="0.3">
      <c r="D194" s="1"/>
    </row>
    <row r="195" spans="4:4" x14ac:dyDescent="0.3">
      <c r="D195" s="1"/>
    </row>
    <row r="196" spans="4:4" x14ac:dyDescent="0.3">
      <c r="D196" s="1"/>
    </row>
    <row r="197" spans="4:4" x14ac:dyDescent="0.3">
      <c r="D197" s="1"/>
    </row>
    <row r="198" spans="4:4" x14ac:dyDescent="0.3">
      <c r="D198" s="1"/>
    </row>
    <row r="199" spans="4:4" x14ac:dyDescent="0.3">
      <c r="D199" s="1"/>
    </row>
    <row r="200" spans="4:4" x14ac:dyDescent="0.3">
      <c r="D200" s="1"/>
    </row>
    <row r="201" spans="4:4" x14ac:dyDescent="0.3">
      <c r="D201" s="1"/>
    </row>
    <row r="202" spans="4:4" x14ac:dyDescent="0.3">
      <c r="D202" s="1"/>
    </row>
    <row r="203" spans="4:4" x14ac:dyDescent="0.3">
      <c r="D203" s="1"/>
    </row>
    <row r="204" spans="4:4" x14ac:dyDescent="0.3">
      <c r="D204" s="1"/>
    </row>
    <row r="205" spans="4:4" x14ac:dyDescent="0.3">
      <c r="D205" s="1"/>
    </row>
    <row r="206" spans="4:4" x14ac:dyDescent="0.3">
      <c r="D206" s="1"/>
    </row>
    <row r="207" spans="4:4" x14ac:dyDescent="0.3">
      <c r="D207" s="1"/>
    </row>
    <row r="208" spans="4:4" x14ac:dyDescent="0.3">
      <c r="D208" s="1"/>
    </row>
    <row r="209" spans="4:4" x14ac:dyDescent="0.3">
      <c r="D209" s="1"/>
    </row>
    <row r="210" spans="4:4" x14ac:dyDescent="0.3">
      <c r="D210" s="1"/>
    </row>
    <row r="211" spans="4:4" x14ac:dyDescent="0.3">
      <c r="D211" s="1"/>
    </row>
    <row r="212" spans="4:4" x14ac:dyDescent="0.3">
      <c r="D212" s="1"/>
    </row>
    <row r="213" spans="4:4" x14ac:dyDescent="0.3">
      <c r="D213" s="1"/>
    </row>
    <row r="214" spans="4:4" x14ac:dyDescent="0.3">
      <c r="D214" s="1"/>
    </row>
    <row r="215" spans="4:4" x14ac:dyDescent="0.3">
      <c r="D215" s="1"/>
    </row>
    <row r="216" spans="4:4" x14ac:dyDescent="0.3">
      <c r="D216" s="1"/>
    </row>
    <row r="217" spans="4:4" x14ac:dyDescent="0.3">
      <c r="D217" s="1"/>
    </row>
    <row r="218" spans="4:4" x14ac:dyDescent="0.3">
      <c r="D218" s="1"/>
    </row>
    <row r="219" spans="4:4" x14ac:dyDescent="0.3">
      <c r="D219" s="1"/>
    </row>
    <row r="220" spans="4:4" x14ac:dyDescent="0.3">
      <c r="D220" s="1"/>
    </row>
    <row r="221" spans="4:4" x14ac:dyDescent="0.3">
      <c r="D221" s="1"/>
    </row>
    <row r="222" spans="4:4" x14ac:dyDescent="0.3">
      <c r="D222" s="1"/>
    </row>
    <row r="223" spans="4:4" x14ac:dyDescent="0.3">
      <c r="D223" s="1"/>
    </row>
    <row r="224" spans="4:4" x14ac:dyDescent="0.3">
      <c r="D224" s="1"/>
    </row>
    <row r="225" spans="4:4" x14ac:dyDescent="0.3">
      <c r="D225" s="1"/>
    </row>
    <row r="226" spans="4:4" x14ac:dyDescent="0.3">
      <c r="D226" s="1"/>
    </row>
    <row r="227" spans="4:4" x14ac:dyDescent="0.3">
      <c r="D227" s="1"/>
    </row>
    <row r="228" spans="4:4" x14ac:dyDescent="0.3">
      <c r="D228" s="1"/>
    </row>
    <row r="229" spans="4:4" x14ac:dyDescent="0.3">
      <c r="D229" s="1"/>
    </row>
    <row r="230" spans="4:4" x14ac:dyDescent="0.3">
      <c r="D230" s="1"/>
    </row>
    <row r="231" spans="4:4" x14ac:dyDescent="0.3">
      <c r="D231" s="1"/>
    </row>
    <row r="232" spans="4:4" x14ac:dyDescent="0.3">
      <c r="D232" s="1"/>
    </row>
    <row r="233" spans="4:4" x14ac:dyDescent="0.3">
      <c r="D233" s="1"/>
    </row>
    <row r="234" spans="4:4" x14ac:dyDescent="0.3">
      <c r="D234" s="1"/>
    </row>
    <row r="235" spans="4:4" x14ac:dyDescent="0.3">
      <c r="D235" s="1"/>
    </row>
    <row r="236" spans="4:4" x14ac:dyDescent="0.3">
      <c r="D236" s="1"/>
    </row>
    <row r="237" spans="4:4" x14ac:dyDescent="0.3">
      <c r="D237" s="1"/>
    </row>
    <row r="238" spans="4:4" x14ac:dyDescent="0.3">
      <c r="D238" s="1"/>
    </row>
    <row r="239" spans="4:4" x14ac:dyDescent="0.3">
      <c r="D239" s="1"/>
    </row>
    <row r="240" spans="4:4" x14ac:dyDescent="0.3">
      <c r="D240" s="1"/>
    </row>
    <row r="241" spans="4:4" x14ac:dyDescent="0.3">
      <c r="D241" s="1"/>
    </row>
    <row r="242" spans="4:4" x14ac:dyDescent="0.3">
      <c r="D242" s="1"/>
    </row>
    <row r="243" spans="4:4" x14ac:dyDescent="0.3">
      <c r="D243" s="1"/>
    </row>
    <row r="244" spans="4:4" x14ac:dyDescent="0.3">
      <c r="D244" s="1"/>
    </row>
    <row r="245" spans="4:4" x14ac:dyDescent="0.3">
      <c r="D245" s="1"/>
    </row>
    <row r="246" spans="4:4" x14ac:dyDescent="0.3">
      <c r="D246" s="1"/>
    </row>
    <row r="247" spans="4:4" x14ac:dyDescent="0.3">
      <c r="D247" s="1"/>
    </row>
    <row r="248" spans="4:4" x14ac:dyDescent="0.3">
      <c r="D248" s="1"/>
    </row>
    <row r="249" spans="4:4" x14ac:dyDescent="0.3">
      <c r="D249" s="1"/>
    </row>
    <row r="250" spans="4:4" x14ac:dyDescent="0.3">
      <c r="D250" s="1"/>
    </row>
    <row r="251" spans="4:4" x14ac:dyDescent="0.3">
      <c r="D251" s="1"/>
    </row>
    <row r="252" spans="4:4" x14ac:dyDescent="0.3">
      <c r="D252" s="1"/>
    </row>
    <row r="253" spans="4:4" x14ac:dyDescent="0.3">
      <c r="D253" s="1"/>
    </row>
    <row r="254" spans="4:4" x14ac:dyDescent="0.3">
      <c r="D254" s="1"/>
    </row>
    <row r="255" spans="4:4" x14ac:dyDescent="0.3">
      <c r="D255" s="1"/>
    </row>
    <row r="256" spans="4:4" x14ac:dyDescent="0.3">
      <c r="D256" s="1"/>
    </row>
    <row r="257" spans="4:4" x14ac:dyDescent="0.3">
      <c r="D257" s="1"/>
    </row>
    <row r="258" spans="4:4" x14ac:dyDescent="0.3">
      <c r="D258" s="1"/>
    </row>
    <row r="259" spans="4:4" x14ac:dyDescent="0.3">
      <c r="D259" s="1"/>
    </row>
    <row r="260" spans="4:4" x14ac:dyDescent="0.3">
      <c r="D260" s="1"/>
    </row>
    <row r="261" spans="4:4" x14ac:dyDescent="0.3">
      <c r="D261" s="1"/>
    </row>
    <row r="262" spans="4:4" x14ac:dyDescent="0.3">
      <c r="D262" s="1"/>
    </row>
    <row r="263" spans="4:4" x14ac:dyDescent="0.3">
      <c r="D263" s="1"/>
    </row>
    <row r="264" spans="4:4" x14ac:dyDescent="0.3">
      <c r="D264" s="1"/>
    </row>
    <row r="265" spans="4:4" x14ac:dyDescent="0.3">
      <c r="D265" s="1"/>
    </row>
    <row r="266" spans="4:4" x14ac:dyDescent="0.3">
      <c r="D266" s="1"/>
    </row>
    <row r="267" spans="4:4" x14ac:dyDescent="0.3">
      <c r="D267" s="1"/>
    </row>
    <row r="268" spans="4:4" x14ac:dyDescent="0.3">
      <c r="D268" s="1"/>
    </row>
    <row r="269" spans="4:4" x14ac:dyDescent="0.3">
      <c r="D269" s="1"/>
    </row>
    <row r="270" spans="4:4" x14ac:dyDescent="0.3">
      <c r="D270" s="1"/>
    </row>
    <row r="271" spans="4:4" x14ac:dyDescent="0.3">
      <c r="D271" s="1"/>
    </row>
    <row r="272" spans="4:4" x14ac:dyDescent="0.3">
      <c r="D272" s="1"/>
    </row>
    <row r="273" spans="4:4" x14ac:dyDescent="0.3">
      <c r="D273" s="1"/>
    </row>
    <row r="274" spans="4:4" x14ac:dyDescent="0.3">
      <c r="D274" s="1"/>
    </row>
    <row r="275" spans="4:4" x14ac:dyDescent="0.3">
      <c r="D275" s="1"/>
    </row>
    <row r="276" spans="4:4" x14ac:dyDescent="0.3">
      <c r="D276" s="1"/>
    </row>
    <row r="277" spans="4:4" x14ac:dyDescent="0.3">
      <c r="D277" s="1"/>
    </row>
    <row r="278" spans="4:4" x14ac:dyDescent="0.3">
      <c r="D278" s="1"/>
    </row>
    <row r="279" spans="4:4" x14ac:dyDescent="0.3">
      <c r="D279" s="1"/>
    </row>
    <row r="280" spans="4:4" x14ac:dyDescent="0.3">
      <c r="D280" s="1"/>
    </row>
    <row r="281" spans="4:4" x14ac:dyDescent="0.3">
      <c r="D281" s="1"/>
    </row>
    <row r="282" spans="4:4" x14ac:dyDescent="0.3">
      <c r="D282" s="1"/>
    </row>
    <row r="283" spans="4:4" x14ac:dyDescent="0.3">
      <c r="D283" s="1"/>
    </row>
    <row r="284" spans="4:4" x14ac:dyDescent="0.3">
      <c r="D284" s="1"/>
    </row>
    <row r="285" spans="4:4" x14ac:dyDescent="0.3">
      <c r="D285" s="1"/>
    </row>
    <row r="286" spans="4:4" x14ac:dyDescent="0.3">
      <c r="D286" s="1"/>
    </row>
    <row r="287" spans="4:4" x14ac:dyDescent="0.3">
      <c r="D287" s="1"/>
    </row>
    <row r="288" spans="4:4" x14ac:dyDescent="0.3">
      <c r="D288" s="1"/>
    </row>
    <row r="289" spans="4:4" x14ac:dyDescent="0.3">
      <c r="D289" s="1"/>
    </row>
    <row r="290" spans="4:4" x14ac:dyDescent="0.3">
      <c r="D290" s="1"/>
    </row>
    <row r="291" spans="4:4" x14ac:dyDescent="0.3">
      <c r="D291" s="1"/>
    </row>
    <row r="292" spans="4:4" x14ac:dyDescent="0.3">
      <c r="D292" s="1"/>
    </row>
    <row r="293" spans="4:4" x14ac:dyDescent="0.3">
      <c r="D293" s="1"/>
    </row>
    <row r="294" spans="4:4" x14ac:dyDescent="0.3">
      <c r="D294" s="1"/>
    </row>
    <row r="295" spans="4:4" x14ac:dyDescent="0.3">
      <c r="D295" s="1"/>
    </row>
    <row r="296" spans="4:4" x14ac:dyDescent="0.3">
      <c r="D296" s="1"/>
    </row>
    <row r="297" spans="4:4" x14ac:dyDescent="0.3">
      <c r="D297" s="1"/>
    </row>
    <row r="298" spans="4:4" x14ac:dyDescent="0.3">
      <c r="D298" s="1"/>
    </row>
    <row r="299" spans="4:4" x14ac:dyDescent="0.3">
      <c r="D299" s="1"/>
    </row>
    <row r="300" spans="4:4" x14ac:dyDescent="0.3">
      <c r="D300" s="1"/>
    </row>
    <row r="301" spans="4:4" x14ac:dyDescent="0.3">
      <c r="D301" s="1"/>
    </row>
    <row r="302" spans="4:4" x14ac:dyDescent="0.3">
      <c r="D302" s="1"/>
    </row>
    <row r="303" spans="4:4" x14ac:dyDescent="0.3">
      <c r="D303" s="1"/>
    </row>
    <row r="304" spans="4:4" x14ac:dyDescent="0.3">
      <c r="D304" s="1"/>
    </row>
    <row r="305" spans="4:4" x14ac:dyDescent="0.3">
      <c r="D305" s="1"/>
    </row>
    <row r="306" spans="4:4" x14ac:dyDescent="0.3">
      <c r="D306" s="1"/>
    </row>
    <row r="307" spans="4:4" x14ac:dyDescent="0.3">
      <c r="D307" s="1"/>
    </row>
    <row r="308" spans="4:4" x14ac:dyDescent="0.3">
      <c r="D308" s="1"/>
    </row>
    <row r="309" spans="4:4" x14ac:dyDescent="0.3">
      <c r="D309" s="1"/>
    </row>
    <row r="310" spans="4:4" x14ac:dyDescent="0.3">
      <c r="D310" s="1"/>
    </row>
    <row r="311" spans="4:4" x14ac:dyDescent="0.3">
      <c r="D311" s="1"/>
    </row>
    <row r="312" spans="4:4" x14ac:dyDescent="0.3">
      <c r="D312" s="1"/>
    </row>
    <row r="313" spans="4:4" x14ac:dyDescent="0.3">
      <c r="D313" s="1"/>
    </row>
    <row r="314" spans="4:4" x14ac:dyDescent="0.3">
      <c r="D314" s="1"/>
    </row>
    <row r="315" spans="4:4" x14ac:dyDescent="0.3">
      <c r="D315" s="1"/>
    </row>
    <row r="316" spans="4:4" x14ac:dyDescent="0.3">
      <c r="D316" s="1"/>
    </row>
    <row r="317" spans="4:4" x14ac:dyDescent="0.3">
      <c r="D317" s="1"/>
    </row>
    <row r="318" spans="4:4" x14ac:dyDescent="0.3">
      <c r="D318" s="1"/>
    </row>
    <row r="319" spans="4:4" x14ac:dyDescent="0.3">
      <c r="D319" s="1"/>
    </row>
    <row r="320" spans="4:4" x14ac:dyDescent="0.3">
      <c r="D320" s="1"/>
    </row>
    <row r="321" spans="4:4" x14ac:dyDescent="0.3">
      <c r="D321" s="1"/>
    </row>
    <row r="322" spans="4:4" x14ac:dyDescent="0.3">
      <c r="D322" s="1"/>
    </row>
    <row r="323" spans="4:4" x14ac:dyDescent="0.3">
      <c r="D323" s="1"/>
    </row>
    <row r="324" spans="4:4" x14ac:dyDescent="0.3">
      <c r="D324" s="1"/>
    </row>
    <row r="325" spans="4:4" x14ac:dyDescent="0.3">
      <c r="D325" s="1"/>
    </row>
    <row r="326" spans="4:4" x14ac:dyDescent="0.3">
      <c r="D326" s="1"/>
    </row>
    <row r="327" spans="4:4" x14ac:dyDescent="0.3">
      <c r="D327" s="1"/>
    </row>
    <row r="328" spans="4:4" x14ac:dyDescent="0.3">
      <c r="D328" s="1"/>
    </row>
    <row r="329" spans="4:4" x14ac:dyDescent="0.3">
      <c r="D329" s="1"/>
    </row>
    <row r="330" spans="4:4" x14ac:dyDescent="0.3">
      <c r="D330" s="1"/>
    </row>
    <row r="331" spans="4:4" x14ac:dyDescent="0.3">
      <c r="D331" s="1"/>
    </row>
    <row r="332" spans="4:4" x14ac:dyDescent="0.3">
      <c r="D332" s="1"/>
    </row>
    <row r="333" spans="4:4" x14ac:dyDescent="0.3">
      <c r="D333" s="1"/>
    </row>
    <row r="334" spans="4:4" x14ac:dyDescent="0.3">
      <c r="D334" s="1"/>
    </row>
    <row r="335" spans="4:4" x14ac:dyDescent="0.3">
      <c r="D335" s="1"/>
    </row>
    <row r="336" spans="4:4" x14ac:dyDescent="0.3">
      <c r="D336" s="1"/>
    </row>
    <row r="337" spans="4:4" x14ac:dyDescent="0.3">
      <c r="D337" s="1"/>
    </row>
    <row r="338" spans="4:4" x14ac:dyDescent="0.3">
      <c r="D338" s="1"/>
    </row>
    <row r="339" spans="4:4" x14ac:dyDescent="0.3">
      <c r="D339" s="1"/>
    </row>
    <row r="340" spans="4:4" x14ac:dyDescent="0.3">
      <c r="D340" s="1"/>
    </row>
    <row r="341" spans="4:4" x14ac:dyDescent="0.3">
      <c r="D341" s="1"/>
    </row>
    <row r="342" spans="4:4" x14ac:dyDescent="0.3">
      <c r="D342" s="1"/>
    </row>
    <row r="343" spans="4:4" x14ac:dyDescent="0.3">
      <c r="D343" s="1"/>
    </row>
    <row r="344" spans="4:4" x14ac:dyDescent="0.3">
      <c r="D344" s="1"/>
    </row>
    <row r="345" spans="4:4" x14ac:dyDescent="0.3">
      <c r="D345" s="1"/>
    </row>
    <row r="346" spans="4:4" x14ac:dyDescent="0.3">
      <c r="D346" s="1"/>
    </row>
    <row r="347" spans="4:4" x14ac:dyDescent="0.3">
      <c r="D347" s="1"/>
    </row>
    <row r="348" spans="4:4" x14ac:dyDescent="0.3">
      <c r="D348" s="1"/>
    </row>
    <row r="349" spans="4:4" x14ac:dyDescent="0.3">
      <c r="D349" s="1"/>
    </row>
    <row r="350" spans="4:4" x14ac:dyDescent="0.3">
      <c r="D350" s="1"/>
    </row>
    <row r="351" spans="4:4" x14ac:dyDescent="0.3">
      <c r="D351" s="1"/>
    </row>
    <row r="352" spans="4:4" x14ac:dyDescent="0.3">
      <c r="D352" s="1"/>
    </row>
    <row r="353" spans="4:4" x14ac:dyDescent="0.3">
      <c r="D353" s="1"/>
    </row>
    <row r="354" spans="4:4" x14ac:dyDescent="0.3">
      <c r="D354" s="1"/>
    </row>
    <row r="355" spans="4:4" x14ac:dyDescent="0.3">
      <c r="D355" s="1"/>
    </row>
    <row r="356" spans="4:4" x14ac:dyDescent="0.3">
      <c r="D356" s="1"/>
    </row>
    <row r="357" spans="4:4" x14ac:dyDescent="0.3">
      <c r="D357" s="1"/>
    </row>
    <row r="358" spans="4:4" x14ac:dyDescent="0.3">
      <c r="D358" s="1"/>
    </row>
    <row r="359" spans="4:4" x14ac:dyDescent="0.3">
      <c r="D359" s="1"/>
    </row>
    <row r="360" spans="4:4" x14ac:dyDescent="0.3">
      <c r="D360" s="1"/>
    </row>
    <row r="361" spans="4:4" x14ac:dyDescent="0.3">
      <c r="D361" s="1"/>
    </row>
    <row r="362" spans="4:4" x14ac:dyDescent="0.3">
      <c r="D362" s="1"/>
    </row>
    <row r="363" spans="4:4" x14ac:dyDescent="0.3">
      <c r="D363" s="1"/>
    </row>
    <row r="364" spans="4:4" x14ac:dyDescent="0.3">
      <c r="D364" s="1"/>
    </row>
    <row r="365" spans="4:4" x14ac:dyDescent="0.3">
      <c r="D365" s="1"/>
    </row>
    <row r="366" spans="4:4" x14ac:dyDescent="0.3">
      <c r="D366" s="1"/>
    </row>
    <row r="367" spans="4:4" x14ac:dyDescent="0.3">
      <c r="D367" s="1"/>
    </row>
    <row r="368" spans="4:4" x14ac:dyDescent="0.3">
      <c r="D368" s="1"/>
    </row>
    <row r="369" spans="4:4" x14ac:dyDescent="0.3">
      <c r="D369" s="1"/>
    </row>
    <row r="370" spans="4:4" x14ac:dyDescent="0.3">
      <c r="D370" s="1"/>
    </row>
    <row r="371" spans="4:4" x14ac:dyDescent="0.3">
      <c r="D371" s="1"/>
    </row>
    <row r="372" spans="4:4" x14ac:dyDescent="0.3">
      <c r="D372" s="1"/>
    </row>
    <row r="373" spans="4:4" x14ac:dyDescent="0.3">
      <c r="D373" s="1"/>
    </row>
    <row r="374" spans="4:4" x14ac:dyDescent="0.3">
      <c r="D374" s="1"/>
    </row>
    <row r="375" spans="4:4" x14ac:dyDescent="0.3">
      <c r="D375" s="1"/>
    </row>
    <row r="376" spans="4:4" x14ac:dyDescent="0.3">
      <c r="D376" s="1"/>
    </row>
    <row r="377" spans="4:4" x14ac:dyDescent="0.3">
      <c r="D377" s="1"/>
    </row>
    <row r="378" spans="4:4" x14ac:dyDescent="0.3">
      <c r="D378" s="1"/>
    </row>
    <row r="379" spans="4:4" x14ac:dyDescent="0.3">
      <c r="D379" s="1"/>
    </row>
    <row r="380" spans="4:4" x14ac:dyDescent="0.3">
      <c r="D380" s="1"/>
    </row>
    <row r="381" spans="4:4" x14ac:dyDescent="0.3">
      <c r="D381" s="1"/>
    </row>
    <row r="382" spans="4:4" x14ac:dyDescent="0.3">
      <c r="D382" s="1"/>
    </row>
    <row r="383" spans="4:4" x14ac:dyDescent="0.3">
      <c r="D383" s="1"/>
    </row>
    <row r="384" spans="4:4" x14ac:dyDescent="0.3">
      <c r="D384" s="1"/>
    </row>
    <row r="385" spans="4:4" x14ac:dyDescent="0.3">
      <c r="D385" s="1"/>
    </row>
    <row r="386" spans="4:4" x14ac:dyDescent="0.3">
      <c r="D386" s="1"/>
    </row>
    <row r="387" spans="4:4" x14ac:dyDescent="0.3">
      <c r="D387" s="1"/>
    </row>
    <row r="388" spans="4:4" x14ac:dyDescent="0.3">
      <c r="D388" s="1"/>
    </row>
    <row r="389" spans="4:4" x14ac:dyDescent="0.3">
      <c r="D389" s="1"/>
    </row>
    <row r="390" spans="4:4" x14ac:dyDescent="0.3">
      <c r="D390" s="1"/>
    </row>
    <row r="391" spans="4:4" x14ac:dyDescent="0.3">
      <c r="D391" s="1"/>
    </row>
    <row r="392" spans="4:4" x14ac:dyDescent="0.3">
      <c r="D392" s="1"/>
    </row>
    <row r="393" spans="4:4" x14ac:dyDescent="0.3">
      <c r="D393" s="1"/>
    </row>
    <row r="394" spans="4:4" x14ac:dyDescent="0.3">
      <c r="D394" s="1"/>
    </row>
    <row r="395" spans="4:4" x14ac:dyDescent="0.3">
      <c r="D395" s="1"/>
    </row>
    <row r="396" spans="4:4" x14ac:dyDescent="0.3">
      <c r="D396" s="1"/>
    </row>
    <row r="397" spans="4:4" x14ac:dyDescent="0.3">
      <c r="D397" s="1"/>
    </row>
    <row r="398" spans="4:4" x14ac:dyDescent="0.3">
      <c r="D398" s="1"/>
    </row>
    <row r="399" spans="4:4" x14ac:dyDescent="0.3">
      <c r="D399" s="1"/>
    </row>
    <row r="400" spans="4:4" x14ac:dyDescent="0.3">
      <c r="D400" s="1"/>
    </row>
    <row r="401" spans="4:4" x14ac:dyDescent="0.3">
      <c r="D401" s="1"/>
    </row>
    <row r="402" spans="4:4" x14ac:dyDescent="0.3">
      <c r="D402" s="1"/>
    </row>
    <row r="403" spans="4:4" x14ac:dyDescent="0.3">
      <c r="D403" s="1"/>
    </row>
    <row r="404" spans="4:4" x14ac:dyDescent="0.3">
      <c r="D404" s="1"/>
    </row>
    <row r="405" spans="4:4" x14ac:dyDescent="0.3">
      <c r="D405" s="1"/>
    </row>
    <row r="406" spans="4:4" x14ac:dyDescent="0.3">
      <c r="D406" s="1"/>
    </row>
    <row r="407" spans="4:4" x14ac:dyDescent="0.3">
      <c r="D407" s="1"/>
    </row>
    <row r="408" spans="4:4" x14ac:dyDescent="0.3">
      <c r="D408" s="1"/>
    </row>
    <row r="409" spans="4:4" x14ac:dyDescent="0.3">
      <c r="D409" s="1"/>
    </row>
    <row r="410" spans="4:4" x14ac:dyDescent="0.3">
      <c r="D410" s="1"/>
    </row>
    <row r="411" spans="4:4" x14ac:dyDescent="0.3">
      <c r="D411" s="1"/>
    </row>
    <row r="412" spans="4:4" x14ac:dyDescent="0.3">
      <c r="D412" s="1"/>
    </row>
    <row r="413" spans="4:4" x14ac:dyDescent="0.3">
      <c r="D413" s="1"/>
    </row>
    <row r="414" spans="4:4" x14ac:dyDescent="0.3">
      <c r="D414" s="1"/>
    </row>
    <row r="415" spans="4:4" x14ac:dyDescent="0.3">
      <c r="D415" s="1"/>
    </row>
    <row r="416" spans="4:4" x14ac:dyDescent="0.3">
      <c r="D416" s="1"/>
    </row>
    <row r="417" spans="4:4" x14ac:dyDescent="0.3">
      <c r="D417" s="1"/>
    </row>
    <row r="418" spans="4:4" x14ac:dyDescent="0.3">
      <c r="D418" s="1"/>
    </row>
    <row r="419" spans="4:4" x14ac:dyDescent="0.3">
      <c r="D419" s="1"/>
    </row>
    <row r="420" spans="4:4" x14ac:dyDescent="0.3">
      <c r="D420" s="1"/>
    </row>
    <row r="421" spans="4:4" x14ac:dyDescent="0.3">
      <c r="D421" s="1"/>
    </row>
    <row r="422" spans="4:4" x14ac:dyDescent="0.3">
      <c r="D422" s="1"/>
    </row>
    <row r="423" spans="4:4" x14ac:dyDescent="0.3">
      <c r="D423" s="1"/>
    </row>
    <row r="424" spans="4:4" x14ac:dyDescent="0.3">
      <c r="D424" s="1"/>
    </row>
    <row r="425" spans="4:4" x14ac:dyDescent="0.3">
      <c r="D425" s="1"/>
    </row>
    <row r="426" spans="4:4" x14ac:dyDescent="0.3">
      <c r="D426" s="1"/>
    </row>
    <row r="427" spans="4:4" x14ac:dyDescent="0.3">
      <c r="D427" s="1"/>
    </row>
    <row r="428" spans="4:4" x14ac:dyDescent="0.3">
      <c r="D428" s="1"/>
    </row>
    <row r="429" spans="4:4" x14ac:dyDescent="0.3">
      <c r="D429" s="1"/>
    </row>
    <row r="430" spans="4:4" x14ac:dyDescent="0.3">
      <c r="D430" s="1"/>
    </row>
    <row r="431" spans="4:4" x14ac:dyDescent="0.3">
      <c r="D431" s="1"/>
    </row>
    <row r="432" spans="4:4" x14ac:dyDescent="0.3">
      <c r="D432" s="1"/>
    </row>
    <row r="433" spans="4:4" x14ac:dyDescent="0.3">
      <c r="D433" s="1"/>
    </row>
    <row r="434" spans="4:4" x14ac:dyDescent="0.3">
      <c r="D434" s="1"/>
    </row>
    <row r="435" spans="4:4" x14ac:dyDescent="0.3">
      <c r="D435" s="1"/>
    </row>
    <row r="436" spans="4:4" x14ac:dyDescent="0.3">
      <c r="D436" s="1"/>
    </row>
    <row r="437" spans="4:4" x14ac:dyDescent="0.3">
      <c r="D437" s="1"/>
    </row>
    <row r="438" spans="4:4" x14ac:dyDescent="0.3">
      <c r="D438" s="1"/>
    </row>
    <row r="439" spans="4:4" x14ac:dyDescent="0.3">
      <c r="D439" s="1"/>
    </row>
    <row r="440" spans="4:4" x14ac:dyDescent="0.3">
      <c r="D440" s="1"/>
    </row>
    <row r="441" spans="4:4" x14ac:dyDescent="0.3">
      <c r="D441" s="1"/>
    </row>
    <row r="442" spans="4:4" x14ac:dyDescent="0.3">
      <c r="D442" s="1"/>
    </row>
    <row r="443" spans="4:4" x14ac:dyDescent="0.3">
      <c r="D443" s="1"/>
    </row>
    <row r="444" spans="4:4" x14ac:dyDescent="0.3">
      <c r="D444" s="1"/>
    </row>
    <row r="445" spans="4:4" x14ac:dyDescent="0.3">
      <c r="D445" s="1"/>
    </row>
    <row r="446" spans="4:4" x14ac:dyDescent="0.3">
      <c r="D446" s="1"/>
    </row>
    <row r="447" spans="4:4" x14ac:dyDescent="0.3">
      <c r="D447" s="1"/>
    </row>
    <row r="448" spans="4:4" x14ac:dyDescent="0.3">
      <c r="D448" s="1"/>
    </row>
    <row r="449" spans="4:4" x14ac:dyDescent="0.3">
      <c r="D449" s="1"/>
    </row>
    <row r="450" spans="4:4" x14ac:dyDescent="0.3">
      <c r="D450" s="1"/>
    </row>
    <row r="451" spans="4:4" x14ac:dyDescent="0.3">
      <c r="D451" s="1"/>
    </row>
    <row r="452" spans="4:4" x14ac:dyDescent="0.3">
      <c r="D452" s="1"/>
    </row>
    <row r="453" spans="4:4" x14ac:dyDescent="0.3">
      <c r="D453" s="1"/>
    </row>
    <row r="454" spans="4:4" x14ac:dyDescent="0.3">
      <c r="D454" s="1"/>
    </row>
    <row r="455" spans="4:4" x14ac:dyDescent="0.3">
      <c r="D455" s="1"/>
    </row>
    <row r="456" spans="4:4" x14ac:dyDescent="0.3">
      <c r="D456" s="1"/>
    </row>
    <row r="457" spans="4:4" x14ac:dyDescent="0.3">
      <c r="D457" s="1"/>
    </row>
    <row r="458" spans="4:4" x14ac:dyDescent="0.3">
      <c r="D458" s="1"/>
    </row>
    <row r="459" spans="4:4" x14ac:dyDescent="0.3">
      <c r="D459" s="1"/>
    </row>
    <row r="460" spans="4:4" x14ac:dyDescent="0.3">
      <c r="D460" s="1"/>
    </row>
    <row r="461" spans="4:4" x14ac:dyDescent="0.3">
      <c r="D461" s="1"/>
    </row>
    <row r="462" spans="4:4" x14ac:dyDescent="0.3">
      <c r="D462" s="1"/>
    </row>
    <row r="463" spans="4:4" x14ac:dyDescent="0.3">
      <c r="D463" s="1"/>
    </row>
    <row r="464" spans="4:4" x14ac:dyDescent="0.3">
      <c r="D464" s="1"/>
    </row>
    <row r="465" spans="4:4" x14ac:dyDescent="0.3">
      <c r="D465" s="1"/>
    </row>
    <row r="466" spans="4:4" x14ac:dyDescent="0.3">
      <c r="D466" s="1"/>
    </row>
    <row r="467" spans="4:4" x14ac:dyDescent="0.3">
      <c r="D467" s="1"/>
    </row>
    <row r="468" spans="4:4" x14ac:dyDescent="0.3">
      <c r="D468" s="1"/>
    </row>
    <row r="469" spans="4:4" x14ac:dyDescent="0.3">
      <c r="D469" s="1"/>
    </row>
    <row r="470" spans="4:4" x14ac:dyDescent="0.3">
      <c r="D470" s="1"/>
    </row>
    <row r="471" spans="4:4" x14ac:dyDescent="0.3">
      <c r="D471" s="1"/>
    </row>
    <row r="472" spans="4:4" x14ac:dyDescent="0.3">
      <c r="D472" s="1"/>
    </row>
    <row r="473" spans="4:4" x14ac:dyDescent="0.3">
      <c r="D473" s="1"/>
    </row>
    <row r="474" spans="4:4" x14ac:dyDescent="0.3">
      <c r="D474" s="1"/>
    </row>
    <row r="475" spans="4:4" x14ac:dyDescent="0.3">
      <c r="D475" s="1"/>
    </row>
    <row r="476" spans="4:4" x14ac:dyDescent="0.3">
      <c r="D476" s="1"/>
    </row>
    <row r="477" spans="4:4" x14ac:dyDescent="0.3">
      <c r="D477" s="1"/>
    </row>
    <row r="478" spans="4:4" x14ac:dyDescent="0.3">
      <c r="D478" s="1"/>
    </row>
    <row r="479" spans="4:4" x14ac:dyDescent="0.3">
      <c r="D479" s="1"/>
    </row>
    <row r="480" spans="4:4" x14ac:dyDescent="0.3">
      <c r="D480" s="1"/>
    </row>
    <row r="481" spans="4:4" x14ac:dyDescent="0.3">
      <c r="D481" s="1"/>
    </row>
    <row r="482" spans="4:4" x14ac:dyDescent="0.3">
      <c r="D482" s="1"/>
    </row>
    <row r="483" spans="4:4" x14ac:dyDescent="0.3">
      <c r="D483" s="1"/>
    </row>
    <row r="484" spans="4:4" x14ac:dyDescent="0.3">
      <c r="D484" s="1"/>
    </row>
    <row r="485" spans="4:4" x14ac:dyDescent="0.3">
      <c r="D485" s="1"/>
    </row>
    <row r="486" spans="4:4" x14ac:dyDescent="0.3">
      <c r="D486" s="1"/>
    </row>
    <row r="487" spans="4:4" x14ac:dyDescent="0.3">
      <c r="D487" s="1"/>
    </row>
    <row r="488" spans="4:4" x14ac:dyDescent="0.3">
      <c r="D488" s="1"/>
    </row>
    <row r="489" spans="4:4" x14ac:dyDescent="0.3">
      <c r="D489" s="1"/>
    </row>
    <row r="490" spans="4:4" x14ac:dyDescent="0.3">
      <c r="D490" s="1"/>
    </row>
    <row r="491" spans="4:4" x14ac:dyDescent="0.3">
      <c r="D491" s="1"/>
    </row>
    <row r="492" spans="4:4" x14ac:dyDescent="0.3">
      <c r="D492" s="1"/>
    </row>
    <row r="493" spans="4:4" x14ac:dyDescent="0.3">
      <c r="D493" s="1"/>
    </row>
    <row r="494" spans="4:4" x14ac:dyDescent="0.3">
      <c r="D494" s="1"/>
    </row>
    <row r="495" spans="4:4" x14ac:dyDescent="0.3">
      <c r="D495" s="1"/>
    </row>
    <row r="496" spans="4:4" x14ac:dyDescent="0.3">
      <c r="D496" s="1"/>
    </row>
    <row r="497" spans="4:4" x14ac:dyDescent="0.3">
      <c r="D497" s="1"/>
    </row>
    <row r="498" spans="4:4" x14ac:dyDescent="0.3">
      <c r="D498" s="1"/>
    </row>
    <row r="499" spans="4:4" x14ac:dyDescent="0.3">
      <c r="D499" s="1"/>
    </row>
    <row r="500" spans="4:4" x14ac:dyDescent="0.3">
      <c r="D500" s="1"/>
    </row>
  </sheetData>
  <mergeCells count="1">
    <mergeCell ref="A1:D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57402-761D-490D-B072-F24651AFDB13}">
  <sheetPr codeName="Sheet3"/>
  <dimension ref="A1:N32"/>
  <sheetViews>
    <sheetView topLeftCell="A9" zoomScale="85" zoomScaleNormal="85" workbookViewId="0">
      <selection activeCell="A21" sqref="A21:C32"/>
    </sheetView>
  </sheetViews>
  <sheetFormatPr defaultRowHeight="14.4" x14ac:dyDescent="0.3"/>
  <cols>
    <col min="1" max="1" width="13.44140625" bestFit="1" customWidth="1"/>
    <col min="2" max="2" width="16.5546875" bestFit="1" customWidth="1"/>
    <col min="3" max="3" width="12.77734375" bestFit="1" customWidth="1"/>
    <col min="5" max="5" width="13.44140625" bestFit="1" customWidth="1"/>
    <col min="6" max="6" width="12.77734375" bestFit="1" customWidth="1"/>
    <col min="7" max="7" width="15.77734375" bestFit="1" customWidth="1"/>
    <col min="9" max="9" width="13.44140625" bestFit="1" customWidth="1"/>
    <col min="10" max="10" width="12.109375" bestFit="1" customWidth="1"/>
    <col min="13" max="13" width="13.44140625" bestFit="1" customWidth="1"/>
    <col min="14" max="14" width="12.109375" bestFit="1" customWidth="1"/>
  </cols>
  <sheetData>
    <row r="1" spans="1:14" x14ac:dyDescent="0.3">
      <c r="A1" s="42" t="s">
        <v>256</v>
      </c>
      <c r="B1" s="42"/>
      <c r="C1" s="42"/>
      <c r="D1" s="42"/>
      <c r="E1" s="42"/>
      <c r="F1" s="42"/>
      <c r="G1" s="42"/>
      <c r="H1" s="42"/>
      <c r="I1" s="42"/>
      <c r="J1" s="42"/>
      <c r="K1" s="42"/>
      <c r="L1" s="42"/>
      <c r="M1" s="42"/>
      <c r="N1" s="42"/>
    </row>
    <row r="2" spans="1:14" ht="19.2" customHeight="1" x14ac:dyDescent="0.3">
      <c r="A2" s="42"/>
      <c r="B2" s="42"/>
      <c r="C2" s="42"/>
      <c r="D2" s="42"/>
      <c r="E2" s="42"/>
      <c r="F2" s="42"/>
      <c r="G2" s="42"/>
      <c r="H2" s="42"/>
      <c r="I2" s="42"/>
      <c r="J2" s="42"/>
      <c r="K2" s="42"/>
      <c r="L2" s="42"/>
      <c r="M2" s="42"/>
      <c r="N2" s="42"/>
    </row>
    <row r="3" spans="1:14" ht="22.8" customHeight="1" x14ac:dyDescent="0.3"/>
    <row r="4" spans="1:14" ht="16.8" customHeight="1" x14ac:dyDescent="0.35">
      <c r="A4" s="44" t="s">
        <v>252</v>
      </c>
      <c r="B4" s="45"/>
      <c r="E4" s="44" t="s">
        <v>253</v>
      </c>
      <c r="F4" s="46"/>
      <c r="I4" s="43" t="s">
        <v>254</v>
      </c>
      <c r="J4" s="43"/>
      <c r="M4" s="43" t="s">
        <v>255</v>
      </c>
      <c r="N4" s="43"/>
    </row>
    <row r="5" spans="1:14" x14ac:dyDescent="0.3">
      <c r="A5" s="30" t="s">
        <v>248</v>
      </c>
      <c r="B5" s="31" t="s">
        <v>250</v>
      </c>
      <c r="E5" s="30" t="s">
        <v>248</v>
      </c>
      <c r="F5" s="31" t="s">
        <v>251</v>
      </c>
      <c r="I5" s="25" t="s">
        <v>248</v>
      </c>
      <c r="J5" s="26" t="s">
        <v>250</v>
      </c>
      <c r="M5" s="30" t="s">
        <v>248</v>
      </c>
      <c r="N5" s="31" t="s">
        <v>250</v>
      </c>
    </row>
    <row r="6" spans="1:14" x14ac:dyDescent="0.3">
      <c r="A6" s="32" t="s">
        <v>15</v>
      </c>
      <c r="B6" s="33">
        <v>41599.160000000003</v>
      </c>
      <c r="E6" s="32" t="s">
        <v>33</v>
      </c>
      <c r="F6" s="33">
        <v>4853.4999999999991</v>
      </c>
      <c r="I6" s="27" t="s">
        <v>265</v>
      </c>
      <c r="J6" s="28">
        <v>15800.150000000001</v>
      </c>
      <c r="M6" s="32" t="s">
        <v>67</v>
      </c>
      <c r="N6" s="33">
        <v>10576.33</v>
      </c>
    </row>
    <row r="7" spans="1:14" x14ac:dyDescent="0.3">
      <c r="A7" s="32" t="s">
        <v>38</v>
      </c>
      <c r="B7" s="33">
        <v>35888.770000000004</v>
      </c>
      <c r="E7" s="32" t="s">
        <v>18</v>
      </c>
      <c r="F7" s="33">
        <v>28835.310000000005</v>
      </c>
      <c r="I7" s="27" t="s">
        <v>266</v>
      </c>
      <c r="J7" s="28">
        <v>8942.9600000000009</v>
      </c>
      <c r="M7" s="32" t="s">
        <v>25</v>
      </c>
      <c r="N7" s="33">
        <v>26816.55</v>
      </c>
    </row>
    <row r="8" spans="1:14" x14ac:dyDescent="0.3">
      <c r="A8" s="32" t="s">
        <v>246</v>
      </c>
      <c r="B8" s="33">
        <v>852.21</v>
      </c>
      <c r="E8" s="32" t="s">
        <v>36</v>
      </c>
      <c r="F8" s="33">
        <v>8910.14</v>
      </c>
      <c r="I8" s="27" t="s">
        <v>267</v>
      </c>
      <c r="J8" s="28">
        <v>7562.9699999999984</v>
      </c>
      <c r="M8" s="32" t="s">
        <v>51</v>
      </c>
      <c r="N8" s="33">
        <v>21094.649999999998</v>
      </c>
    </row>
    <row r="9" spans="1:14" x14ac:dyDescent="0.3">
      <c r="A9" s="32" t="s">
        <v>20</v>
      </c>
      <c r="B9" s="33">
        <v>40274.710000000006</v>
      </c>
      <c r="E9" s="32" t="s">
        <v>249</v>
      </c>
      <c r="F9" s="33">
        <v>42598.950000000004</v>
      </c>
      <c r="I9" s="27" t="s">
        <v>268</v>
      </c>
      <c r="J9" s="28">
        <v>16577.04</v>
      </c>
      <c r="M9" s="32" t="s">
        <v>39</v>
      </c>
      <c r="N9" s="33">
        <v>21765.91</v>
      </c>
    </row>
    <row r="10" spans="1:14" x14ac:dyDescent="0.3">
      <c r="A10" s="32" t="s">
        <v>29</v>
      </c>
      <c r="B10" s="33">
        <v>40101.770000000004</v>
      </c>
      <c r="I10" s="27" t="s">
        <v>269</v>
      </c>
      <c r="J10" s="28">
        <v>17896.259999999998</v>
      </c>
      <c r="M10" s="32" t="s">
        <v>55</v>
      </c>
      <c r="N10" s="33">
        <v>4288.91</v>
      </c>
    </row>
    <row r="11" spans="1:14" x14ac:dyDescent="0.3">
      <c r="A11" s="32" t="s">
        <v>249</v>
      </c>
      <c r="B11" s="33">
        <v>158716.62000000002</v>
      </c>
      <c r="I11" s="27" t="s">
        <v>270</v>
      </c>
      <c r="J11" s="28">
        <v>11173.070000000002</v>
      </c>
      <c r="M11" s="32" t="s">
        <v>21</v>
      </c>
      <c r="N11" s="33">
        <v>35899.42</v>
      </c>
    </row>
    <row r="12" spans="1:14" x14ac:dyDescent="0.3">
      <c r="A12" s="43" t="s">
        <v>259</v>
      </c>
      <c r="B12" s="43"/>
      <c r="C12" s="43"/>
      <c r="E12" t="s">
        <v>250</v>
      </c>
      <c r="G12" t="s">
        <v>257</v>
      </c>
      <c r="I12" s="27" t="s">
        <v>261</v>
      </c>
      <c r="J12" s="28">
        <v>31072.09</v>
      </c>
      <c r="M12" s="32" t="s">
        <v>16</v>
      </c>
      <c r="N12" s="33">
        <v>20839.649999999998</v>
      </c>
    </row>
    <row r="13" spans="1:14" x14ac:dyDescent="0.3">
      <c r="A13" s="43"/>
      <c r="B13" s="43"/>
      <c r="C13" s="43"/>
      <c r="E13" s="8">
        <v>158716.61999999997</v>
      </c>
      <c r="G13" s="8">
        <v>116117.67000000003</v>
      </c>
      <c r="I13" s="27" t="s">
        <v>263</v>
      </c>
      <c r="J13" s="28">
        <v>11546.49</v>
      </c>
      <c r="M13" s="32" t="s">
        <v>27</v>
      </c>
      <c r="N13" s="33">
        <v>17435.199999999997</v>
      </c>
    </row>
    <row r="14" spans="1:14" x14ac:dyDescent="0.3">
      <c r="A14" s="8" t="e" vm="1">
        <v>#VALUE!</v>
      </c>
      <c r="I14" s="27" t="s">
        <v>262</v>
      </c>
      <c r="J14" s="28">
        <v>2645.4100000000003</v>
      </c>
      <c r="M14" s="32" t="s">
        <v>249</v>
      </c>
      <c r="N14" s="33">
        <v>158716.62</v>
      </c>
    </row>
    <row r="15" spans="1:14" x14ac:dyDescent="0.3">
      <c r="I15" s="27" t="s">
        <v>271</v>
      </c>
      <c r="J15" s="28">
        <v>19380.16</v>
      </c>
    </row>
    <row r="16" spans="1:14" x14ac:dyDescent="0.3">
      <c r="E16" t="s">
        <v>251</v>
      </c>
      <c r="G16" t="s">
        <v>260</v>
      </c>
      <c r="I16" s="27" t="s">
        <v>272</v>
      </c>
      <c r="J16" s="28">
        <v>11690.59</v>
      </c>
    </row>
    <row r="17" spans="1:10" ht="16.8" customHeight="1" x14ac:dyDescent="0.3">
      <c r="E17" s="8">
        <v>42598.94999999999</v>
      </c>
      <c r="G17">
        <v>814</v>
      </c>
      <c r="I17" s="27" t="s">
        <v>273</v>
      </c>
      <c r="J17" s="28">
        <v>4429.4299999999994</v>
      </c>
    </row>
    <row r="18" spans="1:10" ht="16.8" customHeight="1" x14ac:dyDescent="0.3">
      <c r="I18" s="27" t="s">
        <v>249</v>
      </c>
      <c r="J18" s="28">
        <v>158716.62</v>
      </c>
    </row>
    <row r="19" spans="1:10" ht="16.8" customHeight="1" x14ac:dyDescent="0.3"/>
    <row r="20" spans="1:10" ht="16.8" customHeight="1" x14ac:dyDescent="0.3"/>
    <row r="21" spans="1:10" ht="16.8" customHeight="1" x14ac:dyDescent="0.3">
      <c r="A21" s="23" t="s">
        <v>248</v>
      </c>
      <c r="B21" t="s">
        <v>264</v>
      </c>
    </row>
    <row r="22" spans="1:10" ht="16.8" customHeight="1" x14ac:dyDescent="0.3">
      <c r="A22" s="24" t="s">
        <v>35</v>
      </c>
      <c r="B22" s="8">
        <v>3517.89</v>
      </c>
    </row>
    <row r="23" spans="1:10" ht="16.8" customHeight="1" x14ac:dyDescent="0.3">
      <c r="A23" s="24" t="s">
        <v>59</v>
      </c>
      <c r="B23" s="8">
        <v>744.18999999999983</v>
      </c>
    </row>
    <row r="24" spans="1:10" ht="16.8" customHeight="1" x14ac:dyDescent="0.3">
      <c r="A24" s="24" t="s">
        <v>32</v>
      </c>
      <c r="B24" s="8">
        <v>504.21000000000004</v>
      </c>
    </row>
    <row r="25" spans="1:10" ht="16.8" customHeight="1" x14ac:dyDescent="0.3">
      <c r="A25" s="24" t="s">
        <v>17</v>
      </c>
      <c r="B25" s="8">
        <v>9166.1999999999989</v>
      </c>
    </row>
    <row r="26" spans="1:10" x14ac:dyDescent="0.3">
      <c r="A26" s="24" t="s">
        <v>44</v>
      </c>
      <c r="B26" s="8">
        <v>1633.81</v>
      </c>
    </row>
    <row r="27" spans="1:10" x14ac:dyDescent="0.3">
      <c r="A27" s="24" t="s">
        <v>46</v>
      </c>
      <c r="B27" s="8">
        <v>279.20000000000005</v>
      </c>
    </row>
    <row r="28" spans="1:10" x14ac:dyDescent="0.3">
      <c r="A28" s="24" t="s">
        <v>53</v>
      </c>
      <c r="B28" s="8">
        <v>423.1</v>
      </c>
    </row>
    <row r="29" spans="1:10" x14ac:dyDescent="0.3">
      <c r="A29" s="24" t="s">
        <v>30</v>
      </c>
      <c r="B29" s="8">
        <v>1819.5400000000004</v>
      </c>
    </row>
    <row r="30" spans="1:10" x14ac:dyDescent="0.3">
      <c r="A30" s="24" t="s">
        <v>23</v>
      </c>
      <c r="B30" s="8">
        <v>3198.99</v>
      </c>
    </row>
    <row r="31" spans="1:10" x14ac:dyDescent="0.3">
      <c r="A31" s="24" t="s">
        <v>63</v>
      </c>
      <c r="B31" s="8">
        <v>936.3199999999996</v>
      </c>
    </row>
    <row r="32" spans="1:10" x14ac:dyDescent="0.3">
      <c r="A32" s="24" t="s">
        <v>249</v>
      </c>
      <c r="B32" s="8">
        <v>22223.449999999997</v>
      </c>
    </row>
  </sheetData>
  <mergeCells count="6">
    <mergeCell ref="A1:N2"/>
    <mergeCell ref="A12:C13"/>
    <mergeCell ref="A4:B4"/>
    <mergeCell ref="E4:F4"/>
    <mergeCell ref="I4:J4"/>
    <mergeCell ref="M4:N4"/>
  </mergeCells>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105E9-6E5A-4632-A636-8BF5B2B36EA1}">
  <sheetPr codeName="Sheet4"/>
  <dimension ref="A1:W28"/>
  <sheetViews>
    <sheetView showGridLines="0" tabSelected="1" zoomScale="48" zoomScaleNormal="71" workbookViewId="0">
      <selection activeCell="U16" sqref="U16"/>
    </sheetView>
  </sheetViews>
  <sheetFormatPr defaultRowHeight="14.4" x14ac:dyDescent="0.3"/>
  <cols>
    <col min="1" max="1" width="12.5546875" bestFit="1" customWidth="1"/>
    <col min="2" max="2" width="20" bestFit="1" customWidth="1"/>
    <col min="3" max="3" width="17.6640625" bestFit="1" customWidth="1"/>
    <col min="4" max="4" width="11.88671875" customWidth="1"/>
    <col min="5" max="5" width="20" bestFit="1" customWidth="1"/>
    <col min="6" max="6" width="17.6640625" bestFit="1" customWidth="1"/>
    <col min="7" max="7" width="13" bestFit="1" customWidth="1"/>
    <col min="8" max="8" width="20" bestFit="1" customWidth="1"/>
    <col min="9" max="9" width="17" bestFit="1" customWidth="1"/>
    <col min="10" max="10" width="18.21875" bestFit="1" customWidth="1"/>
    <col min="12" max="12" width="20.6640625" bestFit="1" customWidth="1"/>
    <col min="13" max="13" width="23.44140625" bestFit="1" customWidth="1"/>
    <col min="14" max="14" width="18.88671875" bestFit="1" customWidth="1"/>
    <col min="15" max="15" width="22.88671875" bestFit="1" customWidth="1"/>
    <col min="16" max="16" width="24.44140625" bestFit="1" customWidth="1"/>
    <col min="21" max="21" width="13.88671875" bestFit="1" customWidth="1"/>
    <col min="22" max="22" width="11.88671875" bestFit="1" customWidth="1"/>
    <col min="23" max="25" width="8.6640625" bestFit="1" customWidth="1"/>
    <col min="26" max="26" width="7.6640625" bestFit="1" customWidth="1"/>
    <col min="27" max="29" width="8.6640625" bestFit="1" customWidth="1"/>
    <col min="30" max="30" width="10.88671875" bestFit="1" customWidth="1"/>
  </cols>
  <sheetData>
    <row r="1" spans="1:23" ht="14.4" customHeight="1" x14ac:dyDescent="0.3">
      <c r="A1" s="36" t="s">
        <v>258</v>
      </c>
      <c r="B1" s="36"/>
      <c r="C1" s="36"/>
      <c r="D1" s="36"/>
      <c r="E1" s="36"/>
      <c r="F1" s="36"/>
      <c r="G1" s="36"/>
      <c r="H1" s="36"/>
      <c r="I1" s="36"/>
      <c r="J1" s="36"/>
      <c r="K1" s="36"/>
      <c r="L1" s="36"/>
      <c r="M1" s="36"/>
      <c r="N1" s="36"/>
      <c r="O1" s="36"/>
      <c r="P1" s="36"/>
      <c r="Q1" s="36"/>
      <c r="R1" s="35"/>
      <c r="S1" s="35"/>
      <c r="T1" s="35"/>
    </row>
    <row r="2" spans="1:23" ht="25.2" customHeight="1" x14ac:dyDescent="0.3">
      <c r="A2" s="36"/>
      <c r="B2" s="36"/>
      <c r="C2" s="36"/>
      <c r="D2" s="36"/>
      <c r="E2" s="36"/>
      <c r="F2" s="36"/>
      <c r="G2" s="36"/>
      <c r="H2" s="36"/>
      <c r="I2" s="36"/>
      <c r="J2" s="36"/>
      <c r="K2" s="36"/>
      <c r="L2" s="36"/>
      <c r="M2" s="36"/>
      <c r="N2" s="36"/>
      <c r="O2" s="36"/>
      <c r="P2" s="36"/>
      <c r="Q2" s="36"/>
      <c r="R2" s="35"/>
      <c r="S2" s="35"/>
      <c r="T2" s="35"/>
    </row>
    <row r="3" spans="1:23" ht="21" customHeight="1" x14ac:dyDescent="0.3"/>
    <row r="4" spans="1:23" ht="14.4" customHeight="1" x14ac:dyDescent="0.3">
      <c r="U4" s="34"/>
      <c r="V4" s="34"/>
      <c r="W4" s="34"/>
    </row>
    <row r="5" spans="1:23" ht="14.4" customHeight="1" x14ac:dyDescent="0.3">
      <c r="U5" s="34"/>
      <c r="V5" s="34"/>
      <c r="W5" s="34"/>
    </row>
    <row r="14" spans="1:23" x14ac:dyDescent="0.3">
      <c r="B14" s="38" t="s">
        <v>254</v>
      </c>
      <c r="C14" s="38"/>
      <c r="E14" s="37" t="s">
        <v>275</v>
      </c>
      <c r="F14" s="37"/>
      <c r="H14" s="37" t="s">
        <v>274</v>
      </c>
      <c r="I14" s="37"/>
      <c r="J14" s="37"/>
    </row>
    <row r="15" spans="1:23" x14ac:dyDescent="0.3">
      <c r="B15" s="23" t="s">
        <v>248</v>
      </c>
      <c r="C15" t="s">
        <v>250</v>
      </c>
      <c r="E15" s="23" t="s">
        <v>248</v>
      </c>
      <c r="F15" t="s">
        <v>250</v>
      </c>
      <c r="H15" s="23" t="s">
        <v>248</v>
      </c>
      <c r="I15" t="s">
        <v>257</v>
      </c>
      <c r="J15" t="s">
        <v>251</v>
      </c>
    </row>
    <row r="16" spans="1:23" x14ac:dyDescent="0.3">
      <c r="B16" s="24" t="s">
        <v>265</v>
      </c>
      <c r="C16" s="8">
        <v>15800.150000000001</v>
      </c>
      <c r="E16" s="24" t="s">
        <v>67</v>
      </c>
      <c r="F16" s="8">
        <v>10576.33</v>
      </c>
      <c r="H16" s="24" t="s">
        <v>35</v>
      </c>
      <c r="I16" s="8">
        <v>20646.120000000003</v>
      </c>
      <c r="J16" s="8">
        <v>7972.4800000000005</v>
      </c>
    </row>
    <row r="17" spans="2:10" x14ac:dyDescent="0.3">
      <c r="B17" s="24" t="s">
        <v>266</v>
      </c>
      <c r="C17" s="8">
        <v>8942.9600000000009</v>
      </c>
      <c r="E17" s="24" t="s">
        <v>25</v>
      </c>
      <c r="F17" s="8">
        <v>26816.55</v>
      </c>
      <c r="H17" s="24" t="s">
        <v>59</v>
      </c>
      <c r="I17" s="8">
        <v>3499.7400000000002</v>
      </c>
      <c r="J17" s="8">
        <v>1261.1199999999997</v>
      </c>
    </row>
    <row r="18" spans="2:10" x14ac:dyDescent="0.3">
      <c r="B18" s="24" t="s">
        <v>267</v>
      </c>
      <c r="C18" s="8">
        <v>7562.9699999999984</v>
      </c>
      <c r="E18" s="24" t="s">
        <v>51</v>
      </c>
      <c r="F18" s="8">
        <v>21094.649999999998</v>
      </c>
      <c r="H18" s="24" t="s">
        <v>32</v>
      </c>
      <c r="I18" s="8">
        <v>2790.22</v>
      </c>
      <c r="J18" s="8">
        <v>1007.4099999999999</v>
      </c>
    </row>
    <row r="19" spans="2:10" x14ac:dyDescent="0.3">
      <c r="B19" s="24" t="s">
        <v>268</v>
      </c>
      <c r="C19" s="8">
        <v>16577.04</v>
      </c>
      <c r="E19" s="24" t="s">
        <v>39</v>
      </c>
      <c r="F19" s="8">
        <v>21765.91</v>
      </c>
      <c r="H19" s="24" t="s">
        <v>17</v>
      </c>
      <c r="I19" s="8">
        <v>38711.360000000001</v>
      </c>
      <c r="J19" s="8">
        <v>14934.000000000002</v>
      </c>
    </row>
    <row r="20" spans="2:10" x14ac:dyDescent="0.3">
      <c r="B20" s="24" t="s">
        <v>269</v>
      </c>
      <c r="C20" s="8">
        <v>17896.259999999998</v>
      </c>
      <c r="E20" s="24" t="s">
        <v>55</v>
      </c>
      <c r="F20" s="8">
        <v>4288.91</v>
      </c>
      <c r="H20" s="24" t="s">
        <v>44</v>
      </c>
      <c r="I20" s="8">
        <v>11813.180000000002</v>
      </c>
      <c r="J20" s="8">
        <v>3161.1400000000003</v>
      </c>
    </row>
    <row r="21" spans="2:10" x14ac:dyDescent="0.3">
      <c r="B21" s="24" t="s">
        <v>270</v>
      </c>
      <c r="C21" s="8">
        <v>11173.070000000002</v>
      </c>
      <c r="E21" s="24" t="s">
        <v>21</v>
      </c>
      <c r="F21" s="8">
        <v>35899.42</v>
      </c>
      <c r="H21" s="24" t="s">
        <v>46</v>
      </c>
      <c r="I21" s="8">
        <v>1582.5699999999997</v>
      </c>
      <c r="J21" s="8">
        <v>506.15</v>
      </c>
    </row>
    <row r="22" spans="2:10" x14ac:dyDescent="0.3">
      <c r="B22" s="24" t="s">
        <v>261</v>
      </c>
      <c r="C22" s="8">
        <v>31072.09</v>
      </c>
      <c r="E22" s="24" t="s">
        <v>16</v>
      </c>
      <c r="F22" s="8">
        <v>20839.649999999998</v>
      </c>
      <c r="H22" s="24" t="s">
        <v>53</v>
      </c>
      <c r="I22" s="8">
        <v>3899.58</v>
      </c>
      <c r="J22" s="8">
        <v>937.66000000000008</v>
      </c>
    </row>
    <row r="23" spans="2:10" x14ac:dyDescent="0.3">
      <c r="B23" s="24" t="s">
        <v>263</v>
      </c>
      <c r="C23" s="8">
        <v>11546.49</v>
      </c>
      <c r="E23" s="24" t="s">
        <v>27</v>
      </c>
      <c r="F23" s="8">
        <v>17435.199999999997</v>
      </c>
      <c r="H23" s="24" t="s">
        <v>30</v>
      </c>
      <c r="I23" s="8">
        <v>8970.33</v>
      </c>
      <c r="J23" s="8">
        <v>3671.7400000000002</v>
      </c>
    </row>
    <row r="24" spans="2:10" x14ac:dyDescent="0.3">
      <c r="B24" s="24" t="s">
        <v>262</v>
      </c>
      <c r="C24" s="8">
        <v>2645.4100000000003</v>
      </c>
      <c r="E24" s="24" t="s">
        <v>249</v>
      </c>
      <c r="F24" s="8">
        <v>158716.62</v>
      </c>
      <c r="H24" s="24" t="s">
        <v>23</v>
      </c>
      <c r="I24" s="8">
        <v>18253.190000000002</v>
      </c>
      <c r="J24" s="8">
        <v>7068.43</v>
      </c>
    </row>
    <row r="25" spans="2:10" x14ac:dyDescent="0.3">
      <c r="B25" s="24" t="s">
        <v>271</v>
      </c>
      <c r="C25" s="8">
        <v>19380.16</v>
      </c>
      <c r="H25" s="24" t="s">
        <v>63</v>
      </c>
      <c r="I25" s="8">
        <v>5951.3799999999992</v>
      </c>
      <c r="J25" s="8">
        <v>2078.8199999999997</v>
      </c>
    </row>
    <row r="26" spans="2:10" x14ac:dyDescent="0.3">
      <c r="B26" s="24" t="s">
        <v>272</v>
      </c>
      <c r="C26" s="8">
        <v>11690.59</v>
      </c>
      <c r="H26" s="24" t="s">
        <v>249</v>
      </c>
      <c r="I26" s="8">
        <v>116117.67000000001</v>
      </c>
      <c r="J26" s="8">
        <v>42598.950000000004</v>
      </c>
    </row>
    <row r="27" spans="2:10" x14ac:dyDescent="0.3">
      <c r="B27" s="24" t="s">
        <v>273</v>
      </c>
      <c r="C27" s="8">
        <v>4429.4299999999994</v>
      </c>
    </row>
    <row r="28" spans="2:10" x14ac:dyDescent="0.3">
      <c r="B28" s="24" t="s">
        <v>249</v>
      </c>
      <c r="C28" s="8">
        <v>158716.62</v>
      </c>
    </row>
  </sheetData>
  <mergeCells count="4">
    <mergeCell ref="A1:Q2"/>
    <mergeCell ref="H14:J14"/>
    <mergeCell ref="E14:F14"/>
    <mergeCell ref="B14:C14"/>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SALES DATA </vt:lpstr>
      <vt:lpstr>FORMULA SHEET</vt: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Prabhjot Kaur</dc:creator>
  <cp:lastModifiedBy>Prabhjot Kaur</cp:lastModifiedBy>
  <dcterms:created xsi:type="dcterms:W3CDTF">2026-07-30T07:42:12Z</dcterms:created>
  <dcterms:modified xsi:type="dcterms:W3CDTF">2026-08-23T16:34:39Z</dcterms:modified>
</cp:coreProperties>
</file>